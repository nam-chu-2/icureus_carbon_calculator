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5282750C-8E77-47A8-8A90-F953F54CF52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alculator" sheetId="1" r:id="rId1"/>
    <sheet name="P_Heating" sheetId="2" r:id="rId2"/>
    <sheet name="P_Cooling" sheetId="3" r:id="rId3"/>
    <sheet name="P_BuildingType" sheetId="4" r:id="rId4"/>
    <sheet name="P_Systems" sheetId="5" r:id="rId5"/>
    <sheet name="P_WaterHeat" sheetId="6" r:id="rId6"/>
    <sheet name="P_U_water" sheetId="7" r:id="rId7"/>
    <sheet name="P_OtherElec" sheetId="8" r:id="rId8"/>
    <sheet name="P_Size" sheetId="9" r:id="rId9"/>
    <sheet name="P_EF_Fuel" sheetId="10" r:id="rId10"/>
    <sheet name="P_EF_Elec" sheetId="11" r:id="rId11"/>
    <sheet name="P_GasEff" sheetId="12" r:id="rId12"/>
    <sheet name="P_HPcop" sheetId="13" r:id="rId13"/>
    <sheet name="P_DKHeat" sheetId="14" r:id="rId14"/>
    <sheet name="P_DKWater" sheetId="15" r:id="rId1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15" l="1"/>
  <c r="I8" i="15"/>
  <c r="I7" i="15"/>
  <c r="I6" i="15"/>
  <c r="I5" i="15"/>
  <c r="I4" i="15"/>
  <c r="I3" i="15"/>
  <c r="I2" i="15"/>
  <c r="J9" i="14"/>
  <c r="I9" i="14"/>
  <c r="J8" i="14"/>
  <c r="I8" i="14"/>
  <c r="J7" i="14"/>
  <c r="I7" i="14"/>
  <c r="J6" i="14"/>
  <c r="I6" i="14"/>
  <c r="J5" i="14"/>
  <c r="I5" i="14"/>
  <c r="J4" i="14"/>
  <c r="I4" i="14"/>
  <c r="J3" i="14"/>
  <c r="I3" i="14"/>
  <c r="J2" i="14"/>
  <c r="I2" i="14"/>
  <c r="D9" i="11"/>
  <c r="F9" i="11" s="1"/>
  <c r="D8" i="11"/>
  <c r="F8" i="11" s="1"/>
  <c r="D7" i="11"/>
  <c r="F7" i="11" s="1"/>
  <c r="D6" i="11"/>
  <c r="F6" i="11" s="1"/>
  <c r="D5" i="11"/>
  <c r="F5" i="11" s="1"/>
  <c r="D4" i="11"/>
  <c r="F4" i="11" s="1"/>
  <c r="D3" i="11"/>
  <c r="F3" i="11" s="1"/>
  <c r="D2" i="11"/>
  <c r="F2" i="11" s="1"/>
  <c r="D4" i="10"/>
  <c r="D3" i="10"/>
  <c r="D2" i="10"/>
  <c r="F26" i="1"/>
  <c r="H26" i="1" s="1"/>
  <c r="E26" i="1"/>
  <c r="F25" i="1"/>
  <c r="H25" i="1" s="1"/>
  <c r="E25" i="1"/>
  <c r="B22" i="1"/>
  <c r="B21" i="1"/>
  <c r="G28" i="1" s="1"/>
  <c r="B20" i="1"/>
  <c r="B19" i="1"/>
  <c r="B18" i="1"/>
  <c r="I26" i="1" s="1"/>
  <c r="G26" i="1" s="1"/>
  <c r="B17" i="1"/>
  <c r="B16" i="1"/>
  <c r="G27" i="1" l="1"/>
  <c r="I25" i="1"/>
  <c r="G25" i="1" s="1"/>
  <c r="D26" i="1"/>
  <c r="B26" i="1"/>
  <c r="D28" i="1"/>
  <c r="B28" i="1"/>
  <c r="G2" i="15"/>
  <c r="H2" i="15" s="1"/>
  <c r="H2" i="14"/>
  <c r="G3" i="15"/>
  <c r="H3" i="15" s="1"/>
  <c r="H3" i="14"/>
  <c r="G4" i="15"/>
  <c r="H4" i="15" s="1"/>
  <c r="H4" i="14"/>
  <c r="G5" i="15"/>
  <c r="H5" i="15" s="1"/>
  <c r="H5" i="14"/>
  <c r="G6" i="15"/>
  <c r="H6" i="15" s="1"/>
  <c r="H6" i="14"/>
  <c r="G7" i="15"/>
  <c r="H7" i="15" s="1"/>
  <c r="H7" i="14"/>
  <c r="G8" i="15"/>
  <c r="H8" i="15" s="1"/>
  <c r="H8" i="14"/>
  <c r="G9" i="15"/>
  <c r="H9" i="15" s="1"/>
  <c r="H9" i="14"/>
  <c r="L2" i="14"/>
  <c r="K2" i="14"/>
  <c r="L3" i="14"/>
  <c r="K3" i="14"/>
  <c r="L4" i="14"/>
  <c r="K4" i="14"/>
  <c r="L5" i="14"/>
  <c r="K5" i="14"/>
  <c r="L6" i="14"/>
  <c r="K6" i="14"/>
  <c r="L7" i="14"/>
  <c r="K7" i="14"/>
  <c r="L8" i="14"/>
  <c r="K8" i="14"/>
  <c r="L9" i="14"/>
  <c r="K9" i="14"/>
  <c r="D25" i="1" l="1"/>
  <c r="B25" i="1"/>
  <c r="D27" i="1"/>
  <c r="B27" i="1"/>
  <c r="B29" i="1" l="1"/>
  <c r="B32" i="1" l="1"/>
  <c r="B31" i="1"/>
  <c r="B30" i="1"/>
</calcChain>
</file>

<file path=xl/sharedStrings.xml><?xml version="1.0" encoding="utf-8"?>
<sst xmlns="http://schemas.openxmlformats.org/spreadsheetml/2006/main" count="297" uniqueCount="177">
  <si>
    <t>Residential CO2 Footprint Calculator</t>
  </si>
  <si>
    <t>Enter the blue cells (dropdowns). Lifecycle basis: combustion + upstream (well-to-tank). Results update in Excel / LibreOffice.</t>
  </si>
  <si>
    <t>INPUTS</t>
  </si>
  <si>
    <t>Jurisdiction (province/state)</t>
  </si>
  <si>
    <t>ON</t>
  </si>
  <si>
    <t>QC ON AB BC CO MI NY WA</t>
  </si>
  <si>
    <t>Dwelling vintage</t>
  </si>
  <si>
    <t>1984-1999</t>
  </si>
  <si>
    <t>pre-1960 / 1960-1983 / 1984-1999 / 2000+</t>
  </si>
  <si>
    <t>Dwelling type</t>
  </si>
  <si>
    <t>detached</t>
  </si>
  <si>
    <t>detached / attached / apartment</t>
  </si>
  <si>
    <t>Floor area (heated)</t>
  </si>
  <si>
    <t>number</t>
  </si>
  <si>
    <t>Area units</t>
  </si>
  <si>
    <t>m2</t>
  </si>
  <si>
    <t>m2 or ft2</t>
  </si>
  <si>
    <t>Space heating system</t>
  </si>
  <si>
    <t>Natural gas</t>
  </si>
  <si>
    <t>...or Don't know (country-average mix)</t>
  </si>
  <si>
    <t>Water heating system</t>
  </si>
  <si>
    <t>Air conditioning?</t>
  </si>
  <si>
    <t>Yes</t>
  </si>
  <si>
    <t>Yes / No</t>
  </si>
  <si>
    <t>Household size (people)</t>
  </si>
  <si>
    <t>2</t>
  </si>
  <si>
    <t>1 / 2 / 3 / 4 / 5 / 6+</t>
  </si>
  <si>
    <t>Windows/insulation significantly upgraded?</t>
  </si>
  <si>
    <t>No</t>
  </si>
  <si>
    <t>Yes / No / Unsure (Yes = -15% heating &amp; cooling demand)</t>
  </si>
  <si>
    <t>INTERMEDIATE</t>
  </si>
  <si>
    <t>Floor area (m2)</t>
  </si>
  <si>
    <t>Vintage key</t>
  </si>
  <si>
    <t>Dwelling key</t>
  </si>
  <si>
    <t>Grid factor (kg CO2e/GJ, delivered, lifecycle)</t>
  </si>
  <si>
    <t>Envelope factor (type)</t>
  </si>
  <si>
    <t>Other-elec size factor</t>
  </si>
  <si>
    <t>Retrofit factor (windows/insulation)</t>
  </si>
  <si>
    <t>RESULTS (kg CO2e / year, lifecycle)</t>
  </si>
  <si>
    <t>End use</t>
  </si>
  <si>
    <t>kg CO2e/yr</t>
  </si>
  <si>
    <t>Energy (GJ/yr) and fuel</t>
  </si>
  <si>
    <t>Space heating</t>
  </si>
  <si>
    <t>Water heating</t>
  </si>
  <si>
    <t>Air conditioning</t>
  </si>
  <si>
    <t>Other electricity (appliances, lighting, plug)</t>
  </si>
  <si>
    <t>TOTAL (kg CO2e/yr)</t>
  </si>
  <si>
    <t>TOTAL (tonnes CO2e/yr)</t>
  </si>
  <si>
    <t>Intensity (kg CO2e/m2/yr)</t>
  </si>
  <si>
    <t>Intensity (kg CO2e/ft2/yr)</t>
  </si>
  <si>
    <t>key</t>
  </si>
  <si>
    <t>D_GJ_per_m2</t>
  </si>
  <si>
    <t>QC|pre-1960</t>
  </si>
  <si>
    <t>QC|1960-1983</t>
  </si>
  <si>
    <t>QC|1984-1999</t>
  </si>
  <si>
    <t>QC|2000+</t>
  </si>
  <si>
    <t>ON|pre-1960</t>
  </si>
  <si>
    <t>ON|1960-1983</t>
  </si>
  <si>
    <t>ON|1984-1999</t>
  </si>
  <si>
    <t>ON|2000+</t>
  </si>
  <si>
    <t>AB|pre-1960</t>
  </si>
  <si>
    <t>AB|1960-1983</t>
  </si>
  <si>
    <t>AB|1984-1999</t>
  </si>
  <si>
    <t>AB|2000+</t>
  </si>
  <si>
    <t>BC|pre-1960</t>
  </si>
  <si>
    <t>BC|1960-1983</t>
  </si>
  <si>
    <t>BC|1984-1999</t>
  </si>
  <si>
    <t>BC|2000+</t>
  </si>
  <si>
    <t>CO|pre-1960</t>
  </si>
  <si>
    <t>CO|1960-1983</t>
  </si>
  <si>
    <t>CO|1984-1999</t>
  </si>
  <si>
    <t>CO|2000+</t>
  </si>
  <si>
    <t>MI|pre-1960</t>
  </si>
  <si>
    <t>MI|1960-1983</t>
  </si>
  <si>
    <t>MI|1984-1999</t>
  </si>
  <si>
    <t>MI|2000+</t>
  </si>
  <si>
    <t>NY|pre-1960</t>
  </si>
  <si>
    <t>NY|1960-1983</t>
  </si>
  <si>
    <t>NY|1984-1999</t>
  </si>
  <si>
    <t>NY|2000+</t>
  </si>
  <si>
    <t>WA|pre-1960</t>
  </si>
  <si>
    <t>WA|1960-1983</t>
  </si>
  <si>
    <t>WA|1984-1999</t>
  </si>
  <si>
    <t>WA|2000+</t>
  </si>
  <si>
    <t>cool_GJ_per_m2</t>
  </si>
  <si>
    <t>building_type</t>
  </si>
  <si>
    <t>envelope_factor</t>
  </si>
  <si>
    <t>attached</t>
  </si>
  <si>
    <t>apartment</t>
  </si>
  <si>
    <t>Applied to heating &amp; cooling (envelope/area effect). Source: NRCan CEUD Table 33 building-type ratios.</t>
  </si>
  <si>
    <t>heating_system</t>
  </si>
  <si>
    <t>fuel</t>
  </si>
  <si>
    <t>efficiency_or_COP</t>
  </si>
  <si>
    <t>Heating oil / propane</t>
  </si>
  <si>
    <t>Oil/propane</t>
  </si>
  <si>
    <t>Electric baseboard</t>
  </si>
  <si>
    <t>Electricity</t>
  </si>
  <si>
    <t>Electric heat pump</t>
  </si>
  <si>
    <t>Wood</t>
  </si>
  <si>
    <t>water_heater</t>
  </si>
  <si>
    <t>Electric</t>
  </si>
  <si>
    <t>Heat-pump water heater</t>
  </si>
  <si>
    <t>useful_hotwater_GJ_per_hh</t>
  </si>
  <si>
    <t>QC|detached</t>
  </si>
  <si>
    <t>QC|attached</t>
  </si>
  <si>
    <t>QC|apartment</t>
  </si>
  <si>
    <t>ON|detached</t>
  </si>
  <si>
    <t>ON|attached</t>
  </si>
  <si>
    <t>ON|apartment</t>
  </si>
  <si>
    <t>AB|detached</t>
  </si>
  <si>
    <t>AB|attached</t>
  </si>
  <si>
    <t>AB|apartment</t>
  </si>
  <si>
    <t>BC|detached</t>
  </si>
  <si>
    <t>BC|attached</t>
  </si>
  <si>
    <t>BC|apartment</t>
  </si>
  <si>
    <t>CO|detached</t>
  </si>
  <si>
    <t>CO|attached</t>
  </si>
  <si>
    <t>CO|apartment</t>
  </si>
  <si>
    <t>MI|detached</t>
  </si>
  <si>
    <t>MI|attached</t>
  </si>
  <si>
    <t>MI|apartment</t>
  </si>
  <si>
    <t>NY|detached</t>
  </si>
  <si>
    <t>NY|attached</t>
  </si>
  <si>
    <t>NY|apartment</t>
  </si>
  <si>
    <t>WA|detached</t>
  </si>
  <si>
    <t>WA|attached</t>
  </si>
  <si>
    <t>WA|apartment</t>
  </si>
  <si>
    <t>jurisdiction</t>
  </si>
  <si>
    <t>other_elec_base_GJ_per_hh</t>
  </si>
  <si>
    <t>QC</t>
  </si>
  <si>
    <t>AB</t>
  </si>
  <si>
    <t>BC</t>
  </si>
  <si>
    <t>CO</t>
  </si>
  <si>
    <t>MI</t>
  </si>
  <si>
    <t>NY</t>
  </si>
  <si>
    <t>WA</t>
  </si>
  <si>
    <t>Average-household baseline; multiplied by household-size factor (P_Size). NRCan Table 2 (CA); RECS 2020 (US).</t>
  </si>
  <si>
    <t>household_size</t>
  </si>
  <si>
    <t>other_elec_factor</t>
  </si>
  <si>
    <t>water_factor_ref</t>
  </si>
  <si>
    <t>1</t>
  </si>
  <si>
    <t>3</t>
  </si>
  <si>
    <t>4</t>
  </si>
  <si>
    <t>5</t>
  </si>
  <si>
    <t>6+</t>
  </si>
  <si>
    <t>Household-size load factors (normalized to mean=1), RECS 2020 (CO/MI/NY/WA pooled). other_elec_factor used; water_factor_ref optional.</t>
  </si>
  <si>
    <t>combustion_kgCO2e_GJ</t>
  </si>
  <si>
    <t>upstream_kgCO2e_GJ</t>
  </si>
  <si>
    <t>lifecycle_kgCO2e_GJ</t>
  </si>
  <si>
    <t>Combustion: EPA GHG Emission Factors Hub 2025 (CO2e, HHV; Oil/propane = mean of distillate 70.3 &amp; propane 59.8). Upstream/well-to-tank: DOE BTO Best Practices Jan 2025 Table 2 / RESNET 301-2022 Add.B (NG +12.98; oil +13.89 &amp; propane +15.54 -&gt; mean +14.7). Wood biogenic-neutral; upstream excluded. lifecycle = combustion + upstream (USED in calc).</t>
  </si>
  <si>
    <t>gCO2e_per_kWh</t>
  </si>
  <si>
    <t>grid_gross_loss</t>
  </si>
  <si>
    <t>combustion_kgCO2e_GJ_delivered</t>
  </si>
  <si>
    <t>lifecycle_kgCO2e_GJ_delivered</t>
  </si>
  <si>
    <t>Combustion (D): Canada ECCC Table 5.2 consumption intensity 2025 (delivered, loss=0); US eGRID2023 output rates grossed up by subregion grid gross loss. Upstream (E, precombustion): computed = grid gas/coal/oil share x heat rate (NG 7.8, coal 10.3, oil 10.5 MMBtu/MWh) x fuel upstream (NG 13.69, coal 7.0, oil 14.66 kg/MMBtu); US mix eGRID2023, Canada CER 2023. lifecycle = combustion + upstream (USED in calc).</t>
  </si>
  <si>
    <t>gas_furnace_efficiency</t>
  </si>
  <si>
    <t>Province: NRCan Table 21 gas-furnace tier shares x Table 26 tier efficiencies (Medium 80%, High 90%). US states: ~0.85 national fleet (DOE/AHRI condensing share).</t>
  </si>
  <si>
    <t>heatpump_seasonal_COP</t>
  </si>
  <si>
    <t>Canada (QC/ON/AB/BC)=1.9: NRCan CEUD Table 26 national stock COP. US (CO/MI/NY/WA)=2.0: US federal-minimum HSPF 6.8 / 3.412. Conservative whole-stock; modern units higher.</t>
  </si>
  <si>
    <t>country</t>
  </si>
  <si>
    <t>w_gas</t>
  </si>
  <si>
    <t>w_oilprop</t>
  </si>
  <si>
    <t>w_baseboard</t>
  </si>
  <si>
    <t>w_heatpump</t>
  </si>
  <si>
    <t>w_wood</t>
  </si>
  <si>
    <t>grid_kg_GJ_lifecycle</t>
  </si>
  <si>
    <t>gas_eff</t>
  </si>
  <si>
    <t>hp_cop</t>
  </si>
  <si>
    <t>DK_EFperEff</t>
  </si>
  <si>
    <t>DK_energy_per_demand</t>
  </si>
  <si>
    <t>CA</t>
  </si>
  <si>
    <t>US</t>
  </si>
  <si>
    <t>Used when space-heating = "Don't know". Lifecycle (combustion+upstream) factors. Weights: Canada NRCan Table 27 (2023); US RECS 2020.</t>
  </si>
  <si>
    <t>w_electric</t>
  </si>
  <si>
    <t>w_hpwh</t>
  </si>
  <si>
    <t>DK_energy_per_U</t>
  </si>
  <si>
    <t>Used when water-heating = "Don't know". Lifecycle factors. Weights: Canada NRCan Table 34 (2023); US RECS 2020. HPWH ~0 (folded into electric).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</si>
</sst>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charset val="1"/>
    </font>
    <font>
      <b/>
      <sz val="14"/>
      <color rgb="FF1F4E66"/>
      <name val="Arial"/>
      <charset val="1"/>
    </font>
    <font>
      <i/>
      <sz val="9"/>
      <color rgb="FF555555"/>
      <name val="Arial"/>
      <charset val="1"/>
    </font>
    <font>
      <b/>
      <sz val="11"/>
      <color rgb="FF1F4E66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1F4E66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1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7" fillId="3" borderId="1" xfId="0" applyFont="1" applyFill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4" fillId="0" borderId="1" xfId="0" applyFont="1" applyBorder="1"/>
    <xf numFmtId="2" fontId="6" fillId="0" borderId="1" xfId="0" applyNumberFormat="1" applyFont="1" applyBorder="1"/>
    <xf numFmtId="0" fontId="4" fillId="5" borderId="1" xfId="0" applyFont="1" applyFill="1" applyBorder="1"/>
    <xf numFmtId="164" fontId="6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zoomScaleNormal="100" workbookViewId="0">
      <selection activeCell="B13" sqref="B13"/>
    </sheetView>
  </sheetViews>
  <sheetFormatPr defaultColWidth="8.7109375" defaultRowHeight="15"/>
  <cols>
    <col min="1" max="1" width="99.140625" bestFit="1" customWidth="1"/>
    <col min="2" max="2" width="20" customWidth="1"/>
    <col min="3" max="3" width="12" customWidth="1"/>
    <col min="4" max="4" width="42" customWidth="1"/>
    <col min="5" max="9" width="13" hidden="1" customWidth="1"/>
  </cols>
  <sheetData>
    <row r="1" spans="1:4" ht="17.45">
      <c r="A1" s="1" t="s">
        <v>0</v>
      </c>
    </row>
    <row r="2" spans="1:4">
      <c r="A2" s="2" t="s">
        <v>1</v>
      </c>
    </row>
    <row r="4" spans="1:4">
      <c r="A4" s="3" t="s">
        <v>2</v>
      </c>
    </row>
    <row r="5" spans="1:4">
      <c r="A5" s="4" t="s">
        <v>3</v>
      </c>
      <c r="B5" s="5" t="s">
        <v>4</v>
      </c>
      <c r="D5" s="2" t="s">
        <v>5</v>
      </c>
    </row>
    <row r="6" spans="1:4">
      <c r="A6" s="4" t="s">
        <v>6</v>
      </c>
      <c r="B6" s="5" t="s">
        <v>7</v>
      </c>
      <c r="D6" s="2" t="s">
        <v>8</v>
      </c>
    </row>
    <row r="7" spans="1:4">
      <c r="A7" s="4" t="s">
        <v>9</v>
      </c>
      <c r="B7" s="5" t="s">
        <v>10</v>
      </c>
      <c r="D7" s="2" t="s">
        <v>11</v>
      </c>
    </row>
    <row r="8" spans="1:4">
      <c r="A8" s="4" t="s">
        <v>12</v>
      </c>
      <c r="B8" s="5">
        <v>140</v>
      </c>
      <c r="D8" s="2" t="s">
        <v>13</v>
      </c>
    </row>
    <row r="9" spans="1:4">
      <c r="A9" s="4" t="s">
        <v>14</v>
      </c>
      <c r="B9" s="5" t="s">
        <v>15</v>
      </c>
      <c r="D9" s="2" t="s">
        <v>16</v>
      </c>
    </row>
    <row r="10" spans="1:4">
      <c r="A10" s="4" t="s">
        <v>17</v>
      </c>
      <c r="B10" s="5" t="s">
        <v>18</v>
      </c>
      <c r="D10" s="2" t="s">
        <v>19</v>
      </c>
    </row>
    <row r="11" spans="1:4">
      <c r="A11" s="4" t="s">
        <v>20</v>
      </c>
      <c r="B11" s="5" t="s">
        <v>18</v>
      </c>
      <c r="D11" s="2" t="s">
        <v>19</v>
      </c>
    </row>
    <row r="12" spans="1:4">
      <c r="A12" s="4" t="s">
        <v>21</v>
      </c>
      <c r="B12" s="5" t="s">
        <v>22</v>
      </c>
      <c r="D12" s="2" t="s">
        <v>23</v>
      </c>
    </row>
    <row r="13" spans="1:4">
      <c r="A13" s="4" t="s">
        <v>24</v>
      </c>
      <c r="B13" s="5" t="s">
        <v>25</v>
      </c>
      <c r="D13" s="2" t="s">
        <v>26</v>
      </c>
    </row>
    <row r="14" spans="1:4">
      <c r="A14" s="4" t="s">
        <v>27</v>
      </c>
      <c r="B14" s="5" t="s">
        <v>28</v>
      </c>
      <c r="D14" s="2" t="s">
        <v>29</v>
      </c>
    </row>
    <row r="15" spans="1:4">
      <c r="A15" s="3" t="s">
        <v>30</v>
      </c>
    </row>
    <row r="16" spans="1:4">
      <c r="A16" s="4" t="s">
        <v>31</v>
      </c>
      <c r="B16" s="6">
        <f>IF($B$9="ft2",$B$8*0.092903,$B$8)</f>
        <v>140</v>
      </c>
    </row>
    <row r="17" spans="1:9">
      <c r="A17" s="4" t="s">
        <v>32</v>
      </c>
      <c r="B17" s="7" t="str">
        <f>$B$5&amp;"|"&amp;$B$6</f>
        <v>ON|1984-1999</v>
      </c>
    </row>
    <row r="18" spans="1:9">
      <c r="A18" s="4" t="s">
        <v>33</v>
      </c>
      <c r="B18" s="7" t="str">
        <f>$B$5&amp;"|"&amp;$B$7</f>
        <v>ON|detached</v>
      </c>
    </row>
    <row r="19" spans="1:9">
      <c r="A19" s="4" t="s">
        <v>34</v>
      </c>
      <c r="B19" s="8">
        <f>INDEX(P_EF_Elec!$F:$F,MATCH($B$5,P_EF_Elec!$A:$A,0))</f>
        <v>13.955564000000001</v>
      </c>
    </row>
    <row r="20" spans="1:9">
      <c r="A20" s="4" t="s">
        <v>35</v>
      </c>
      <c r="B20" s="9">
        <f>INDEX(P_BuildingType!$B:$B,MATCH($B$7,P_BuildingType!$A:$A,0))</f>
        <v>1</v>
      </c>
    </row>
    <row r="21" spans="1:9">
      <c r="A21" s="4" t="s">
        <v>36</v>
      </c>
      <c r="B21" s="9">
        <f>INDEX(P_Size!$B:$B,MATCH($B$13&amp;"",P_Size!$A:$A,0))</f>
        <v>1</v>
      </c>
    </row>
    <row r="22" spans="1:9">
      <c r="A22" s="4" t="s">
        <v>37</v>
      </c>
      <c r="B22" s="9">
        <f>IF($B$14="Yes",0.85,1)</f>
        <v>1</v>
      </c>
    </row>
    <row r="23" spans="1:9">
      <c r="A23" s="3" t="s">
        <v>38</v>
      </c>
    </row>
    <row r="24" spans="1:9">
      <c r="A24" s="10" t="s">
        <v>39</v>
      </c>
      <c r="B24" s="10" t="s">
        <v>40</v>
      </c>
      <c r="C24" s="10"/>
      <c r="D24" s="10" t="s">
        <v>41</v>
      </c>
    </row>
    <row r="25" spans="1:9">
      <c r="A25" s="11" t="s">
        <v>42</v>
      </c>
      <c r="B25" s="12">
        <f>IF($B$10="Don't know",$I$25*INDEX(P_DKHeat!$K:$K,MATCH($B$5,P_DKHeat!$A:$A,0)),$G$25*$H$25)</f>
        <v>3981.6629213483143</v>
      </c>
      <c r="D25" s="2" t="str">
        <f>TEXT($G$25,"0.0")&amp;" GJ "&amp;$F$25</f>
        <v>62.9 GJ Natural gas</v>
      </c>
      <c r="E25">
        <f>IF($B$10="Don't know","mixed",IF($B$10="Natural gas",INDEX(P_GasEff!$B:$B,MATCH($B$5,P_GasEff!$A:$A,0)),IF($B$10="Electric heat pump",INDEX(P_HPcop!$B:$B,MATCH($B$5,P_HPcop!$A:$A,0)),INDEX(P_Systems!$C:$C,MATCH($B$10,P_Systems!$A:$A,0)))))</f>
        <v>0.89</v>
      </c>
      <c r="F25" t="str">
        <f>IF($B$10="Don't know","mixed",INDEX(P_Systems!$B:$B,MATCH($B$10,P_Systems!$A:$A,0)))</f>
        <v>Natural gas</v>
      </c>
      <c r="G25">
        <f>IF($B$10="Don't know",$I$25*INDEX(P_DKHeat!$L:$L,MATCH($B$5,P_DKHeat!$A:$A,0)),$I$25/$E$25)</f>
        <v>62.921348314606739</v>
      </c>
      <c r="H25">
        <f>IF($B$10="Don't know",0,IF($F$25="Electricity",$B$19,INDEX(P_EF_Fuel!$D:$D,MATCH($F$25,P_EF_Fuel!$A:$A,0))))</f>
        <v>63.28</v>
      </c>
      <c r="I25">
        <f>INDEX(P_Heating!$B:$B,MATCH($B$17,P_Heating!$A:$A,0))*$B$16*$B$20*$B$22</f>
        <v>56</v>
      </c>
    </row>
    <row r="26" spans="1:9">
      <c r="A26" s="11" t="s">
        <v>43</v>
      </c>
      <c r="B26" s="12">
        <f>IF($B$11="Don't know",$I$26*INDEX(P_DKWater!$H:$H,MATCH($B$5,P_DKWater!$A:$A,0)),$G$26*$H$26)</f>
        <v>1181.2266666666667</v>
      </c>
      <c r="D26" s="2" t="str">
        <f>TEXT($G$26,"0.0")&amp;" GJ "&amp;$F$26</f>
        <v>18.7 GJ Natural gas</v>
      </c>
      <c r="E26">
        <f>IF($B$11="Don't know","mixed",INDEX(P_WaterHeat!$C:$C,MATCH($B$11,P_WaterHeat!$A:$A,0)))</f>
        <v>0.6</v>
      </c>
      <c r="F26" t="str">
        <f>IF($B$11="Don't know","mixed",INDEX(P_WaterHeat!$B:$B,MATCH($B$11,P_WaterHeat!$A:$A,0)))</f>
        <v>Natural gas</v>
      </c>
      <c r="G26">
        <f>IF($B$11="Don't know",$I$26*INDEX(P_DKWater!$I:$I,MATCH($B$5,P_DKWater!$A:$A,0)),$I$26/$E$26)</f>
        <v>18.666666666666668</v>
      </c>
      <c r="H26">
        <f>IF($B$11="Don't know",0,IF($F$26="Electricity",$B$19,INDEX(P_EF_Fuel!$D:$D,MATCH($F$26,P_EF_Fuel!$A:$A,0))))</f>
        <v>63.28</v>
      </c>
      <c r="I26">
        <f>INDEX(P_U_water!$B:$B,MATCH($B$18,P_U_water!$A:$A,0))</f>
        <v>11.2</v>
      </c>
    </row>
    <row r="27" spans="1:9">
      <c r="A27" s="11" t="s">
        <v>44</v>
      </c>
      <c r="B27" s="12">
        <f>$G$27*$B$19</f>
        <v>44.936916079999996</v>
      </c>
      <c r="D27" s="2" t="str">
        <f>TEXT($G$27,"0.0")&amp;" GJ electricity"</f>
        <v>3.2 GJ electricity</v>
      </c>
      <c r="G27">
        <f>IF($B$12="Yes",INDEX(P_Cooling!$B:$B,MATCH($B$17,P_Cooling!$A:$A,0))*$B$16*$B$20*$B$22,0)</f>
        <v>3.2199999999999998</v>
      </c>
    </row>
    <row r="28" spans="1:9">
      <c r="A28" s="11" t="s">
        <v>45</v>
      </c>
      <c r="B28" s="12">
        <f>$G$28*$B$19</f>
        <v>178.63121920000003</v>
      </c>
      <c r="D28" s="2" t="str">
        <f>TEXT($G$28,"0.0")&amp;" GJ electricity"</f>
        <v>12.8 GJ electricity</v>
      </c>
      <c r="G28">
        <f>INDEX(P_OtherElec!$B:$B,MATCH($B$5,P_OtherElec!$A:$A,0))*$B$21</f>
        <v>12.8</v>
      </c>
    </row>
    <row r="29" spans="1:9">
      <c r="A29" s="13" t="s">
        <v>46</v>
      </c>
      <c r="B29" s="14">
        <f>SUM(B25:B28)</f>
        <v>5386.4577232949814</v>
      </c>
    </row>
    <row r="30" spans="1:9">
      <c r="A30" s="15" t="s">
        <v>47</v>
      </c>
      <c r="B30" s="16">
        <f>B29/1000</f>
        <v>5.3864577232949813</v>
      </c>
    </row>
    <row r="31" spans="1:9">
      <c r="A31" s="17" t="s">
        <v>48</v>
      </c>
      <c r="B31" s="18">
        <f>$B$29/$B$16</f>
        <v>38.474698023535581</v>
      </c>
    </row>
    <row r="32" spans="1:9">
      <c r="A32" s="15" t="s">
        <v>49</v>
      </c>
      <c r="B32" s="16">
        <f>$B$29/($B$16/0.092903)</f>
        <v>3.5744148704805263</v>
      </c>
    </row>
  </sheetData>
  <dataValidations count="9">
    <dataValidation type="list" sqref="B5" xr:uid="{00000000-0002-0000-0000-000000000000}">
      <formula1>"QC,ON,AB,BC,CO,MI,NY,WA"</formula1>
      <formula2>0</formula2>
    </dataValidation>
    <dataValidation type="list" sqref="B6" xr:uid="{00000000-0002-0000-0000-000001000000}">
      <formula1>"pre-1960,1960-1983,1984-1999,2000+"</formula1>
      <formula2>0</formula2>
    </dataValidation>
    <dataValidation type="list" sqref="B7" xr:uid="{00000000-0002-0000-0000-000002000000}">
      <formula1>"detached,attached,apartment"</formula1>
      <formula2>0</formula2>
    </dataValidation>
    <dataValidation type="list" sqref="B9" xr:uid="{00000000-0002-0000-0000-000003000000}">
      <formula1>"m2,ft2"</formula1>
      <formula2>0</formula2>
    </dataValidation>
    <dataValidation type="list" sqref="B10" xr:uid="{00000000-0002-0000-0000-000004000000}">
      <formula1>"Natural gas,Heating oil / propane,Electric baseboard,Electric heat pump,Wood,Don't know"</formula1>
      <formula2>0</formula2>
    </dataValidation>
    <dataValidation type="list" sqref="B11" xr:uid="{00000000-0002-0000-0000-000005000000}">
      <formula1>"Natural gas,Electric,Heating oil / propane,Heat-pump water heater,Don't know"</formula1>
      <formula2>0</formula2>
    </dataValidation>
    <dataValidation type="list" sqref="B12" xr:uid="{00000000-0002-0000-0000-000006000000}">
      <formula1>"Yes,No"</formula1>
      <formula2>0</formula2>
    </dataValidation>
    <dataValidation type="list" sqref="B13" xr:uid="{00000000-0002-0000-0000-000007000000}">
      <formula1>"1,2,3,4,5,6+"</formula1>
      <formula2>0</formula2>
    </dataValidation>
    <dataValidation type="list" sqref="B14" xr:uid="{00000000-0002-0000-0000-000008000000}">
      <formula1>"No,Yes,Unsure"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zoomScaleNormal="100" workbookViewId="0"/>
  </sheetViews>
  <sheetFormatPr defaultColWidth="8.7109375" defaultRowHeight="15"/>
  <cols>
    <col min="1" max="1" width="18" customWidth="1"/>
    <col min="2" max="2" width="14" customWidth="1"/>
  </cols>
  <sheetData>
    <row r="1" spans="1:2">
      <c r="A1" s="10" t="s">
        <v>50</v>
      </c>
      <c r="B1" s="10" t="s">
        <v>51</v>
      </c>
    </row>
    <row r="2" spans="1:2">
      <c r="A2" t="s">
        <v>52</v>
      </c>
      <c r="B2">
        <v>0.85</v>
      </c>
    </row>
    <row r="3" spans="1:2">
      <c r="A3" t="s">
        <v>53</v>
      </c>
      <c r="B3">
        <v>0.65</v>
      </c>
    </row>
    <row r="4" spans="1:2">
      <c r="A4" t="s">
        <v>54</v>
      </c>
      <c r="B4">
        <v>0.45</v>
      </c>
    </row>
    <row r="5" spans="1:2">
      <c r="A5" t="s">
        <v>55</v>
      </c>
      <c r="B5">
        <v>0.34</v>
      </c>
    </row>
    <row r="6" spans="1:2">
      <c r="A6" t="s">
        <v>56</v>
      </c>
      <c r="B6">
        <v>0.85</v>
      </c>
    </row>
    <row r="7" spans="1:2">
      <c r="A7" t="s">
        <v>57</v>
      </c>
      <c r="B7">
        <v>0.55000000000000004</v>
      </c>
    </row>
    <row r="8" spans="1:2">
      <c r="A8" t="s">
        <v>58</v>
      </c>
      <c r="B8">
        <v>0.4</v>
      </c>
    </row>
    <row r="9" spans="1:2">
      <c r="A9" t="s">
        <v>59</v>
      </c>
      <c r="B9">
        <v>0.33</v>
      </c>
    </row>
    <row r="10" spans="1:2">
      <c r="A10" t="s">
        <v>60</v>
      </c>
      <c r="B10">
        <v>0.9</v>
      </c>
    </row>
    <row r="11" spans="1:2">
      <c r="A11" t="s">
        <v>61</v>
      </c>
      <c r="B11">
        <v>0.65</v>
      </c>
    </row>
    <row r="12" spans="1:2">
      <c r="A12" t="s">
        <v>62</v>
      </c>
      <c r="B12">
        <v>0.45</v>
      </c>
    </row>
    <row r="13" spans="1:2">
      <c r="A13" t="s">
        <v>63</v>
      </c>
      <c r="B13">
        <v>0.36</v>
      </c>
    </row>
    <row r="14" spans="1:2">
      <c r="A14" t="s">
        <v>64</v>
      </c>
      <c r="B14">
        <v>0.55000000000000004</v>
      </c>
    </row>
    <row r="15" spans="1:2">
      <c r="A15" t="s">
        <v>65</v>
      </c>
      <c r="B15">
        <v>0.4</v>
      </c>
    </row>
    <row r="16" spans="1:2">
      <c r="A16" t="s">
        <v>66</v>
      </c>
      <c r="B16">
        <v>0.3</v>
      </c>
    </row>
    <row r="17" spans="1:2">
      <c r="A17" t="s">
        <v>67</v>
      </c>
      <c r="B17">
        <v>0.22</v>
      </c>
    </row>
    <row r="18" spans="1:2">
      <c r="A18" t="s">
        <v>68</v>
      </c>
      <c r="B18">
        <v>0.314</v>
      </c>
    </row>
    <row r="19" spans="1:2">
      <c r="A19" t="s">
        <v>69</v>
      </c>
      <c r="B19">
        <v>0.27900000000000003</v>
      </c>
    </row>
    <row r="20" spans="1:2">
      <c r="A20" t="s">
        <v>70</v>
      </c>
      <c r="B20">
        <v>0.247</v>
      </c>
    </row>
    <row r="21" spans="1:2">
      <c r="A21" t="s">
        <v>71</v>
      </c>
      <c r="B21">
        <v>0.19900000000000001</v>
      </c>
    </row>
    <row r="22" spans="1:2">
      <c r="A22" t="s">
        <v>72</v>
      </c>
      <c r="B22">
        <v>0.46</v>
      </c>
    </row>
    <row r="23" spans="1:2">
      <c r="A23" t="s">
        <v>73</v>
      </c>
      <c r="B23">
        <v>0.35699999999999998</v>
      </c>
    </row>
    <row r="24" spans="1:2">
      <c r="A24" t="s">
        <v>74</v>
      </c>
      <c r="B24">
        <v>0.28899999999999998</v>
      </c>
    </row>
    <row r="25" spans="1:2">
      <c r="A25" t="s">
        <v>75</v>
      </c>
      <c r="B25">
        <v>0.26700000000000002</v>
      </c>
    </row>
    <row r="26" spans="1:2">
      <c r="A26" t="s">
        <v>76</v>
      </c>
      <c r="B26">
        <v>0.33100000000000002</v>
      </c>
    </row>
    <row r="27" spans="1:2">
      <c r="A27" t="s">
        <v>77</v>
      </c>
      <c r="B27">
        <v>0.32</v>
      </c>
    </row>
    <row r="28" spans="1:2">
      <c r="A28" t="s">
        <v>78</v>
      </c>
      <c r="B28">
        <v>0.26100000000000001</v>
      </c>
    </row>
    <row r="29" spans="1:2">
      <c r="A29" t="s">
        <v>79</v>
      </c>
      <c r="B29">
        <v>0.217</v>
      </c>
    </row>
    <row r="30" spans="1:2">
      <c r="A30" t="s">
        <v>80</v>
      </c>
      <c r="B30">
        <v>0.27800000000000002</v>
      </c>
    </row>
    <row r="31" spans="1:2">
      <c r="A31" t="s">
        <v>81</v>
      </c>
      <c r="B31">
        <v>0.247</v>
      </c>
    </row>
    <row r="32" spans="1:2">
      <c r="A32" t="s">
        <v>82</v>
      </c>
      <c r="B32">
        <v>0.23300000000000001</v>
      </c>
    </row>
    <row r="33" spans="1:2">
      <c r="A33" t="s">
        <v>83</v>
      </c>
      <c r="B33">
        <v>0.182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zoomScaleNormal="100" workbookViewId="0"/>
  </sheetViews>
  <sheetFormatPr defaultColWidth="8.7109375" defaultRowHeight="15"/>
  <cols>
    <col min="1" max="1" width="18" customWidth="1"/>
    <col min="2" max="2" width="16" customWidth="1"/>
  </cols>
  <sheetData>
    <row r="1" spans="1:2">
      <c r="A1" s="10" t="s">
        <v>50</v>
      </c>
      <c r="B1" s="10" t="s">
        <v>84</v>
      </c>
    </row>
    <row r="2" spans="1:2">
      <c r="A2" t="s">
        <v>52</v>
      </c>
      <c r="B2">
        <v>5.2999999999999999E-2</v>
      </c>
    </row>
    <row r="3" spans="1:2">
      <c r="A3" t="s">
        <v>53</v>
      </c>
      <c r="B3">
        <v>4.1000000000000002E-2</v>
      </c>
    </row>
    <row r="4" spans="1:2">
      <c r="A4" t="s">
        <v>54</v>
      </c>
      <c r="B4">
        <v>2.9000000000000001E-2</v>
      </c>
    </row>
    <row r="5" spans="1:2">
      <c r="A5" t="s">
        <v>55</v>
      </c>
      <c r="B5">
        <v>2.4E-2</v>
      </c>
    </row>
    <row r="6" spans="1:2">
      <c r="A6" t="s">
        <v>56</v>
      </c>
      <c r="B6">
        <v>4.2999999999999997E-2</v>
      </c>
    </row>
    <row r="7" spans="1:2">
      <c r="A7" t="s">
        <v>57</v>
      </c>
      <c r="B7">
        <v>3.3000000000000002E-2</v>
      </c>
    </row>
    <row r="8" spans="1:2">
      <c r="A8" t="s">
        <v>58</v>
      </c>
      <c r="B8">
        <v>2.3E-2</v>
      </c>
    </row>
    <row r="9" spans="1:2">
      <c r="A9" t="s">
        <v>59</v>
      </c>
      <c r="B9">
        <v>1.9E-2</v>
      </c>
    </row>
    <row r="10" spans="1:2">
      <c r="A10" t="s">
        <v>60</v>
      </c>
      <c r="B10">
        <v>8.9999999999999993E-3</v>
      </c>
    </row>
    <row r="11" spans="1:2">
      <c r="A11" t="s">
        <v>61</v>
      </c>
      <c r="B11">
        <v>7.0000000000000001E-3</v>
      </c>
    </row>
    <row r="12" spans="1:2">
      <c r="A12" t="s">
        <v>62</v>
      </c>
      <c r="B12">
        <v>5.0000000000000001E-3</v>
      </c>
    </row>
    <row r="13" spans="1:2">
      <c r="A13" t="s">
        <v>63</v>
      </c>
      <c r="B13">
        <v>4.0000000000000001E-3</v>
      </c>
    </row>
    <row r="14" spans="1:2">
      <c r="A14" t="s">
        <v>64</v>
      </c>
      <c r="B14">
        <v>2.9000000000000001E-2</v>
      </c>
    </row>
    <row r="15" spans="1:2">
      <c r="A15" t="s">
        <v>65</v>
      </c>
      <c r="B15">
        <v>2.3E-2</v>
      </c>
    </row>
    <row r="16" spans="1:2">
      <c r="A16" t="s">
        <v>66</v>
      </c>
      <c r="B16">
        <v>1.6E-2</v>
      </c>
    </row>
    <row r="17" spans="1:2">
      <c r="A17" t="s">
        <v>67</v>
      </c>
      <c r="B17">
        <v>1.2999999999999999E-2</v>
      </c>
    </row>
    <row r="18" spans="1:2">
      <c r="A18" t="s">
        <v>68</v>
      </c>
      <c r="B18">
        <v>4.2000000000000003E-2</v>
      </c>
    </row>
    <row r="19" spans="1:2">
      <c r="A19" t="s">
        <v>69</v>
      </c>
      <c r="B19">
        <v>2.9000000000000001E-2</v>
      </c>
    </row>
    <row r="20" spans="1:2">
      <c r="A20" t="s">
        <v>70</v>
      </c>
      <c r="B20">
        <v>2.7E-2</v>
      </c>
    </row>
    <row r="21" spans="1:2">
      <c r="A21" t="s">
        <v>71</v>
      </c>
      <c r="B21">
        <v>2.4E-2</v>
      </c>
    </row>
    <row r="22" spans="1:2">
      <c r="A22" t="s">
        <v>72</v>
      </c>
      <c r="B22">
        <v>4.2999999999999997E-2</v>
      </c>
    </row>
    <row r="23" spans="1:2">
      <c r="A23" t="s">
        <v>73</v>
      </c>
      <c r="B23">
        <v>3.5999999999999997E-2</v>
      </c>
    </row>
    <row r="24" spans="1:2">
      <c r="A24" t="s">
        <v>74</v>
      </c>
      <c r="B24">
        <v>0.02</v>
      </c>
    </row>
    <row r="25" spans="1:2">
      <c r="A25" t="s">
        <v>75</v>
      </c>
      <c r="B25">
        <v>1.7999999999999999E-2</v>
      </c>
    </row>
    <row r="26" spans="1:2">
      <c r="A26" t="s">
        <v>76</v>
      </c>
      <c r="B26">
        <v>6.3E-2</v>
      </c>
    </row>
    <row r="27" spans="1:2">
      <c r="A27" t="s">
        <v>77</v>
      </c>
      <c r="B27">
        <v>0.06</v>
      </c>
    </row>
    <row r="28" spans="1:2">
      <c r="A28" t="s">
        <v>78</v>
      </c>
      <c r="B28">
        <v>4.1000000000000002E-2</v>
      </c>
    </row>
    <row r="29" spans="1:2">
      <c r="A29" t="s">
        <v>79</v>
      </c>
      <c r="B29">
        <v>2.9000000000000001E-2</v>
      </c>
    </row>
    <row r="30" spans="1:2">
      <c r="A30" t="s">
        <v>80</v>
      </c>
      <c r="B30">
        <v>0.05</v>
      </c>
    </row>
    <row r="31" spans="1:2">
      <c r="A31" t="s">
        <v>81</v>
      </c>
      <c r="B31">
        <v>3.3000000000000002E-2</v>
      </c>
    </row>
    <row r="32" spans="1:2">
      <c r="A32" t="s">
        <v>82</v>
      </c>
      <c r="B32">
        <v>2.1999999999999999E-2</v>
      </c>
    </row>
    <row r="33" spans="1:2">
      <c r="A33" t="s">
        <v>83</v>
      </c>
      <c r="B33">
        <v>1.9E-2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Normal="100" workbookViewId="0"/>
  </sheetViews>
  <sheetFormatPr defaultColWidth="8.7109375" defaultRowHeight="15"/>
  <cols>
    <col min="1" max="2" width="16" customWidth="1"/>
  </cols>
  <sheetData>
    <row r="1" spans="1:2">
      <c r="A1" s="10" t="s">
        <v>85</v>
      </c>
      <c r="B1" s="10" t="s">
        <v>86</v>
      </c>
    </row>
    <row r="2" spans="1:2">
      <c r="A2" t="s">
        <v>10</v>
      </c>
      <c r="B2">
        <v>1</v>
      </c>
    </row>
    <row r="3" spans="1:2">
      <c r="A3" t="s">
        <v>87</v>
      </c>
      <c r="B3">
        <v>0.85</v>
      </c>
    </row>
    <row r="4" spans="1:2">
      <c r="A4" t="s">
        <v>88</v>
      </c>
      <c r="B4">
        <v>0.7</v>
      </c>
    </row>
    <row r="6" spans="1:2">
      <c r="A6" s="2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Normal="100" workbookViewId="0"/>
  </sheetViews>
  <sheetFormatPr defaultColWidth="8.7109375" defaultRowHeight="15"/>
  <cols>
    <col min="1" max="1" width="20" customWidth="1"/>
    <col min="2" max="2" width="14" customWidth="1"/>
    <col min="3" max="3" width="18" customWidth="1"/>
  </cols>
  <sheetData>
    <row r="1" spans="1:3">
      <c r="A1" s="10" t="s">
        <v>90</v>
      </c>
      <c r="B1" s="10" t="s">
        <v>91</v>
      </c>
      <c r="C1" s="10" t="s">
        <v>92</v>
      </c>
    </row>
    <row r="2" spans="1:3">
      <c r="A2" t="s">
        <v>18</v>
      </c>
      <c r="B2" t="s">
        <v>18</v>
      </c>
      <c r="C2">
        <v>0.85</v>
      </c>
    </row>
    <row r="3" spans="1:3">
      <c r="A3" t="s">
        <v>93</v>
      </c>
      <c r="B3" t="s">
        <v>94</v>
      </c>
      <c r="C3">
        <v>0.84</v>
      </c>
    </row>
    <row r="4" spans="1:3">
      <c r="A4" t="s">
        <v>95</v>
      </c>
      <c r="B4" t="s">
        <v>96</v>
      </c>
      <c r="C4">
        <v>1</v>
      </c>
    </row>
    <row r="5" spans="1:3">
      <c r="A5" t="s">
        <v>97</v>
      </c>
      <c r="B5" t="s">
        <v>96</v>
      </c>
      <c r="C5">
        <v>1.9</v>
      </c>
    </row>
    <row r="6" spans="1:3">
      <c r="A6" t="s">
        <v>98</v>
      </c>
      <c r="B6" t="s">
        <v>98</v>
      </c>
      <c r="C6">
        <v>0.65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zoomScaleNormal="100" workbookViewId="0"/>
  </sheetViews>
  <sheetFormatPr defaultColWidth="8.7109375" defaultRowHeight="15"/>
  <cols>
    <col min="1" max="1" width="24" customWidth="1"/>
    <col min="2" max="2" width="14" customWidth="1"/>
    <col min="3" max="3" width="18" customWidth="1"/>
  </cols>
  <sheetData>
    <row r="1" spans="1:3">
      <c r="A1" s="10" t="s">
        <v>99</v>
      </c>
      <c r="B1" s="10" t="s">
        <v>91</v>
      </c>
      <c r="C1" s="10" t="s">
        <v>92</v>
      </c>
    </row>
    <row r="2" spans="1:3">
      <c r="A2" t="s">
        <v>18</v>
      </c>
      <c r="B2" t="s">
        <v>18</v>
      </c>
      <c r="C2">
        <v>0.6</v>
      </c>
    </row>
    <row r="3" spans="1:3">
      <c r="A3" t="s">
        <v>100</v>
      </c>
      <c r="B3" t="s">
        <v>96</v>
      </c>
      <c r="C3">
        <v>0.9</v>
      </c>
    </row>
    <row r="4" spans="1:3">
      <c r="A4" t="s">
        <v>93</v>
      </c>
      <c r="B4" t="s">
        <v>94</v>
      </c>
      <c r="C4">
        <v>0.59</v>
      </c>
    </row>
    <row r="5" spans="1:3">
      <c r="A5" t="s">
        <v>101</v>
      </c>
      <c r="B5" t="s">
        <v>96</v>
      </c>
      <c r="C5">
        <v>2.5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5"/>
  <sheetViews>
    <sheetView zoomScaleNormal="100" workbookViewId="0"/>
  </sheetViews>
  <sheetFormatPr defaultColWidth="8.7109375" defaultRowHeight="15"/>
  <cols>
    <col min="1" max="1" width="18" customWidth="1"/>
    <col min="2" max="2" width="26" customWidth="1"/>
  </cols>
  <sheetData>
    <row r="1" spans="1:2">
      <c r="A1" s="10" t="s">
        <v>50</v>
      </c>
      <c r="B1" s="10" t="s">
        <v>102</v>
      </c>
    </row>
    <row r="2" spans="1:2">
      <c r="A2" t="s">
        <v>103</v>
      </c>
      <c r="B2">
        <v>12.4</v>
      </c>
    </row>
    <row r="3" spans="1:2">
      <c r="A3" t="s">
        <v>104</v>
      </c>
      <c r="B3">
        <v>11.3</v>
      </c>
    </row>
    <row r="4" spans="1:2">
      <c r="A4" t="s">
        <v>105</v>
      </c>
      <c r="B4">
        <v>8.5</v>
      </c>
    </row>
    <row r="5" spans="1:2">
      <c r="A5" t="s">
        <v>106</v>
      </c>
      <c r="B5">
        <v>11.2</v>
      </c>
    </row>
    <row r="6" spans="1:2">
      <c r="A6" t="s">
        <v>107</v>
      </c>
      <c r="B6">
        <v>10.199999999999999</v>
      </c>
    </row>
    <row r="7" spans="1:2">
      <c r="A7" t="s">
        <v>108</v>
      </c>
      <c r="B7">
        <v>7.6</v>
      </c>
    </row>
    <row r="8" spans="1:2">
      <c r="A8" t="s">
        <v>109</v>
      </c>
      <c r="B8">
        <v>19.8</v>
      </c>
    </row>
    <row r="9" spans="1:2">
      <c r="A9" t="s">
        <v>110</v>
      </c>
      <c r="B9">
        <v>18</v>
      </c>
    </row>
    <row r="10" spans="1:2">
      <c r="A10" t="s">
        <v>111</v>
      </c>
      <c r="B10">
        <v>13.5</v>
      </c>
    </row>
    <row r="11" spans="1:2">
      <c r="A11" t="s">
        <v>112</v>
      </c>
      <c r="B11">
        <v>15.8</v>
      </c>
    </row>
    <row r="12" spans="1:2">
      <c r="A12" t="s">
        <v>113</v>
      </c>
      <c r="B12">
        <v>14.4</v>
      </c>
    </row>
    <row r="13" spans="1:2">
      <c r="A13" t="s">
        <v>114</v>
      </c>
      <c r="B13">
        <v>10.8</v>
      </c>
    </row>
    <row r="14" spans="1:2">
      <c r="A14" t="s">
        <v>115</v>
      </c>
      <c r="B14">
        <v>12.8</v>
      </c>
    </row>
    <row r="15" spans="1:2">
      <c r="A15" t="s">
        <v>116</v>
      </c>
      <c r="B15">
        <v>11.6</v>
      </c>
    </row>
    <row r="16" spans="1:2">
      <c r="A16" t="s">
        <v>117</v>
      </c>
      <c r="B16">
        <v>8.6999999999999993</v>
      </c>
    </row>
    <row r="17" spans="1:2">
      <c r="A17" t="s">
        <v>118</v>
      </c>
      <c r="B17">
        <v>11.6</v>
      </c>
    </row>
    <row r="18" spans="1:2">
      <c r="A18" t="s">
        <v>119</v>
      </c>
      <c r="B18">
        <v>10.6</v>
      </c>
    </row>
    <row r="19" spans="1:2">
      <c r="A19" t="s">
        <v>120</v>
      </c>
      <c r="B19">
        <v>7.9</v>
      </c>
    </row>
    <row r="20" spans="1:2">
      <c r="A20" t="s">
        <v>121</v>
      </c>
      <c r="B20">
        <v>12</v>
      </c>
    </row>
    <row r="21" spans="1:2">
      <c r="A21" t="s">
        <v>122</v>
      </c>
      <c r="B21">
        <v>10.9</v>
      </c>
    </row>
    <row r="22" spans="1:2">
      <c r="A22" t="s">
        <v>123</v>
      </c>
      <c r="B22">
        <v>8.1999999999999993</v>
      </c>
    </row>
    <row r="23" spans="1:2">
      <c r="A23" t="s">
        <v>124</v>
      </c>
      <c r="B23">
        <v>14.7</v>
      </c>
    </row>
    <row r="24" spans="1:2">
      <c r="A24" t="s">
        <v>125</v>
      </c>
      <c r="B24">
        <v>13.4</v>
      </c>
    </row>
    <row r="25" spans="1:2">
      <c r="A25" t="s">
        <v>126</v>
      </c>
      <c r="B25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zoomScaleNormal="100" workbookViewId="0"/>
  </sheetViews>
  <sheetFormatPr defaultColWidth="8.7109375" defaultRowHeight="15"/>
  <cols>
    <col min="1" max="1" width="14" customWidth="1"/>
    <col min="2" max="2" width="28" customWidth="1"/>
  </cols>
  <sheetData>
    <row r="1" spans="1:2">
      <c r="A1" s="10" t="s">
        <v>127</v>
      </c>
      <c r="B1" s="10" t="s">
        <v>128</v>
      </c>
    </row>
    <row r="2" spans="1:2">
      <c r="A2" t="s">
        <v>129</v>
      </c>
      <c r="B2">
        <v>20.2</v>
      </c>
    </row>
    <row r="3" spans="1:2">
      <c r="A3" t="s">
        <v>4</v>
      </c>
      <c r="B3">
        <v>12.8</v>
      </c>
    </row>
    <row r="4" spans="1:2">
      <c r="A4" t="s">
        <v>130</v>
      </c>
      <c r="B4">
        <v>16.2</v>
      </c>
    </row>
    <row r="5" spans="1:2">
      <c r="A5" t="s">
        <v>131</v>
      </c>
      <c r="B5">
        <v>17</v>
      </c>
    </row>
    <row r="6" spans="1:2">
      <c r="A6" t="s">
        <v>132</v>
      </c>
      <c r="B6">
        <v>21</v>
      </c>
    </row>
    <row r="7" spans="1:2">
      <c r="A7" t="s">
        <v>133</v>
      </c>
      <c r="B7">
        <v>21</v>
      </c>
    </row>
    <row r="8" spans="1:2">
      <c r="A8" t="s">
        <v>134</v>
      </c>
      <c r="B8">
        <v>16</v>
      </c>
    </row>
    <row r="9" spans="1:2">
      <c r="A9" t="s">
        <v>135</v>
      </c>
      <c r="B9">
        <v>20</v>
      </c>
    </row>
    <row r="11" spans="1:2">
      <c r="A11" s="2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zoomScaleNormal="100" workbookViewId="0"/>
  </sheetViews>
  <sheetFormatPr defaultColWidth="8.7109375" defaultRowHeight="15"/>
  <cols>
    <col min="1" max="3" width="16" customWidth="1"/>
  </cols>
  <sheetData>
    <row r="1" spans="1:3">
      <c r="A1" s="10" t="s">
        <v>137</v>
      </c>
      <c r="B1" s="10" t="s">
        <v>138</v>
      </c>
      <c r="C1" s="10" t="s">
        <v>139</v>
      </c>
    </row>
    <row r="2" spans="1:3">
      <c r="A2" t="s">
        <v>140</v>
      </c>
      <c r="B2">
        <v>0.66</v>
      </c>
      <c r="C2">
        <v>0.64</v>
      </c>
    </row>
    <row r="3" spans="1:3">
      <c r="A3" t="s">
        <v>25</v>
      </c>
      <c r="B3">
        <v>1</v>
      </c>
      <c r="C3">
        <v>0.95</v>
      </c>
    </row>
    <row r="4" spans="1:3">
      <c r="A4" t="s">
        <v>141</v>
      </c>
      <c r="B4">
        <v>1.17</v>
      </c>
      <c r="C4">
        <v>1.21</v>
      </c>
    </row>
    <row r="5" spans="1:3">
      <c r="A5" t="s">
        <v>142</v>
      </c>
      <c r="B5">
        <v>1.3</v>
      </c>
      <c r="C5">
        <v>1.4</v>
      </c>
    </row>
    <row r="6" spans="1:3">
      <c r="A6" t="s">
        <v>143</v>
      </c>
      <c r="B6">
        <v>1.41</v>
      </c>
      <c r="C6">
        <v>1.52</v>
      </c>
    </row>
    <row r="7" spans="1:3">
      <c r="A7" t="s">
        <v>144</v>
      </c>
      <c r="B7">
        <v>1.51</v>
      </c>
      <c r="C7">
        <v>1.55</v>
      </c>
    </row>
    <row r="9" spans="1:3">
      <c r="A9" s="2" t="s">
        <v>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zoomScaleNormal="100" workbookViewId="0"/>
  </sheetViews>
  <sheetFormatPr defaultColWidth="8.7109375" defaultRowHeight="15"/>
  <cols>
    <col min="1" max="1" width="16" customWidth="1"/>
    <col min="2" max="2" width="22" customWidth="1"/>
    <col min="3" max="3" width="20" customWidth="1"/>
    <col min="4" max="4" width="22" customWidth="1"/>
  </cols>
  <sheetData>
    <row r="1" spans="1:4">
      <c r="A1" s="10" t="s">
        <v>91</v>
      </c>
      <c r="B1" s="10" t="s">
        <v>146</v>
      </c>
      <c r="C1" s="10" t="s">
        <v>147</v>
      </c>
      <c r="D1" s="10" t="s">
        <v>148</v>
      </c>
    </row>
    <row r="2" spans="1:4">
      <c r="A2" t="s">
        <v>18</v>
      </c>
      <c r="B2">
        <v>50.3</v>
      </c>
      <c r="C2">
        <v>12.98</v>
      </c>
      <c r="D2">
        <f>B2+C2</f>
        <v>63.28</v>
      </c>
    </row>
    <row r="3" spans="1:4">
      <c r="A3" t="s">
        <v>94</v>
      </c>
      <c r="B3">
        <v>65.099999999999994</v>
      </c>
      <c r="C3">
        <v>14.7</v>
      </c>
      <c r="D3">
        <f>B3+C3</f>
        <v>79.8</v>
      </c>
    </row>
    <row r="4" spans="1:4">
      <c r="A4" t="s">
        <v>98</v>
      </c>
      <c r="B4">
        <v>1.1000000000000001</v>
      </c>
      <c r="C4">
        <v>0</v>
      </c>
      <c r="D4">
        <f>B4+C4</f>
        <v>1.1000000000000001</v>
      </c>
    </row>
    <row r="6" spans="1:4">
      <c r="A6" s="2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zoomScaleNormal="100" workbookViewId="0"/>
  </sheetViews>
  <sheetFormatPr defaultColWidth="8.7109375" defaultRowHeight="15"/>
  <cols>
    <col min="1" max="1" width="13" customWidth="1"/>
    <col min="2" max="2" width="14" customWidth="1"/>
    <col min="3" max="3" width="13" customWidth="1"/>
    <col min="4" max="4" width="26" customWidth="1"/>
    <col min="5" max="5" width="16" customWidth="1"/>
    <col min="6" max="6" width="26" customWidth="1"/>
  </cols>
  <sheetData>
    <row r="1" spans="1:6">
      <c r="A1" s="10" t="s">
        <v>127</v>
      </c>
      <c r="B1" s="10" t="s">
        <v>150</v>
      </c>
      <c r="C1" s="10" t="s">
        <v>151</v>
      </c>
      <c r="D1" s="10" t="s">
        <v>152</v>
      </c>
      <c r="E1" s="10" t="s">
        <v>147</v>
      </c>
      <c r="F1" s="10" t="s">
        <v>153</v>
      </c>
    </row>
    <row r="2" spans="1:6">
      <c r="A2" t="s">
        <v>129</v>
      </c>
      <c r="B2">
        <v>1.7</v>
      </c>
      <c r="C2">
        <v>0</v>
      </c>
      <c r="D2">
        <f>B2*0.277778/(1-C2)</f>
        <v>0.47222260000000005</v>
      </c>
      <c r="E2">
        <v>0.2</v>
      </c>
      <c r="F2">
        <f>D2+E2</f>
        <v>0.6722226</v>
      </c>
    </row>
    <row r="3" spans="1:6">
      <c r="A3" t="s">
        <v>4</v>
      </c>
      <c r="B3">
        <v>38</v>
      </c>
      <c r="C3">
        <v>0</v>
      </c>
      <c r="D3">
        <f>B3*0.277778/(1-C3)</f>
        <v>10.555564</v>
      </c>
      <c r="E3">
        <v>3.4</v>
      </c>
      <c r="F3">
        <f>D3+E3</f>
        <v>13.955564000000001</v>
      </c>
    </row>
    <row r="4" spans="1:6">
      <c r="A4" t="s">
        <v>130</v>
      </c>
      <c r="B4">
        <v>490</v>
      </c>
      <c r="C4">
        <v>0</v>
      </c>
      <c r="D4">
        <f>B4*0.277778/(1-C4)</f>
        <v>136.11122</v>
      </c>
      <c r="E4">
        <v>22.7</v>
      </c>
      <c r="F4">
        <f>D4+E4</f>
        <v>158.81121999999999</v>
      </c>
    </row>
    <row r="5" spans="1:6">
      <c r="A5" t="s">
        <v>131</v>
      </c>
      <c r="B5">
        <v>15</v>
      </c>
      <c r="C5">
        <v>0</v>
      </c>
      <c r="D5">
        <f>B5*0.277778/(1-C5)</f>
        <v>4.1666700000000008</v>
      </c>
      <c r="E5">
        <v>1.3</v>
      </c>
      <c r="F5">
        <f>D5+E5</f>
        <v>5.4666700000000006</v>
      </c>
    </row>
    <row r="6" spans="1:6">
      <c r="A6" t="s">
        <v>132</v>
      </c>
      <c r="B6">
        <v>495</v>
      </c>
      <c r="C6">
        <v>4.1000000000000002E-2</v>
      </c>
      <c r="D6">
        <f>B6*0.277778/(1-C6)</f>
        <v>143.37863399374351</v>
      </c>
      <c r="E6">
        <v>16.100000000000001</v>
      </c>
      <c r="F6">
        <f>D6+E6</f>
        <v>159.4786339937435</v>
      </c>
    </row>
    <row r="7" spans="1:6">
      <c r="A7" t="s">
        <v>133</v>
      </c>
      <c r="B7">
        <v>362</v>
      </c>
      <c r="C7">
        <v>4.2000000000000003E-2</v>
      </c>
      <c r="D7">
        <f>B7*0.277778/(1-C7)</f>
        <v>104.96412943632569</v>
      </c>
      <c r="E7">
        <v>18.399999999999999</v>
      </c>
      <c r="F7">
        <f>D7+E7</f>
        <v>123.3641294363257</v>
      </c>
    </row>
    <row r="8" spans="1:6">
      <c r="A8" t="s">
        <v>134</v>
      </c>
      <c r="B8">
        <v>212</v>
      </c>
      <c r="C8">
        <v>4.2000000000000003E-2</v>
      </c>
      <c r="D8">
        <f>B8*0.277778/(1-C8)</f>
        <v>61.470705636743226</v>
      </c>
      <c r="E8">
        <v>14.7</v>
      </c>
      <c r="F8">
        <f>D8+E8</f>
        <v>76.170705636743222</v>
      </c>
    </row>
    <row r="9" spans="1:6">
      <c r="A9" t="s">
        <v>135</v>
      </c>
      <c r="B9">
        <v>121</v>
      </c>
      <c r="C9">
        <v>4.1000000000000002E-2</v>
      </c>
      <c r="D9">
        <f>B9*0.277778/(1-C9)</f>
        <v>35.048110531803971</v>
      </c>
      <c r="E9">
        <v>6.7</v>
      </c>
      <c r="F9">
        <f>D9+E9</f>
        <v>41.748110531803974</v>
      </c>
    </row>
    <row r="11" spans="1:6">
      <c r="A11" s="2" t="s">
        <v>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zoomScaleNormal="100" workbookViewId="0"/>
  </sheetViews>
  <sheetFormatPr defaultColWidth="8.7109375" defaultRowHeight="15"/>
  <cols>
    <col min="1" max="1" width="14" customWidth="1"/>
    <col min="2" max="2" width="26" customWidth="1"/>
  </cols>
  <sheetData>
    <row r="1" spans="1:2">
      <c r="A1" s="10" t="s">
        <v>127</v>
      </c>
      <c r="B1" s="10" t="s">
        <v>155</v>
      </c>
    </row>
    <row r="2" spans="1:2">
      <c r="A2" t="s">
        <v>129</v>
      </c>
      <c r="B2">
        <v>0.88</v>
      </c>
    </row>
    <row r="3" spans="1:2">
      <c r="A3" t="s">
        <v>4</v>
      </c>
      <c r="B3">
        <v>0.89</v>
      </c>
    </row>
    <row r="4" spans="1:2">
      <c r="A4" t="s">
        <v>130</v>
      </c>
      <c r="B4">
        <v>0.87</v>
      </c>
    </row>
    <row r="5" spans="1:2">
      <c r="A5" t="s">
        <v>131</v>
      </c>
      <c r="B5">
        <v>0.87</v>
      </c>
    </row>
    <row r="6" spans="1:2">
      <c r="A6" t="s">
        <v>132</v>
      </c>
      <c r="B6">
        <v>0.85</v>
      </c>
    </row>
    <row r="7" spans="1:2">
      <c r="A7" t="s">
        <v>133</v>
      </c>
      <c r="B7">
        <v>0.85</v>
      </c>
    </row>
    <row r="8" spans="1:2">
      <c r="A8" t="s">
        <v>134</v>
      </c>
      <c r="B8">
        <v>0.85</v>
      </c>
    </row>
    <row r="9" spans="1:2">
      <c r="A9" t="s">
        <v>135</v>
      </c>
      <c r="B9">
        <v>0.85</v>
      </c>
    </row>
    <row r="11" spans="1:2">
      <c r="A11" s="2" t="s"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zoomScaleNormal="100" workbookViewId="0"/>
  </sheetViews>
  <sheetFormatPr defaultColWidth="8.7109375" defaultRowHeight="15"/>
  <cols>
    <col min="1" max="1" width="14" customWidth="1"/>
    <col min="2" max="2" width="28" customWidth="1"/>
  </cols>
  <sheetData>
    <row r="1" spans="1:2">
      <c r="A1" s="10" t="s">
        <v>127</v>
      </c>
      <c r="B1" s="10" t="s">
        <v>157</v>
      </c>
    </row>
    <row r="2" spans="1:2">
      <c r="A2" t="s">
        <v>129</v>
      </c>
      <c r="B2">
        <v>1.9</v>
      </c>
    </row>
    <row r="3" spans="1:2">
      <c r="A3" t="s">
        <v>4</v>
      </c>
      <c r="B3">
        <v>1.9</v>
      </c>
    </row>
    <row r="4" spans="1:2">
      <c r="A4" t="s">
        <v>130</v>
      </c>
      <c r="B4">
        <v>1.9</v>
      </c>
    </row>
    <row r="5" spans="1:2">
      <c r="A5" t="s">
        <v>131</v>
      </c>
      <c r="B5">
        <v>1.9</v>
      </c>
    </row>
    <row r="6" spans="1:2">
      <c r="A6" t="s">
        <v>132</v>
      </c>
      <c r="B6">
        <v>2</v>
      </c>
    </row>
    <row r="7" spans="1:2">
      <c r="A7" t="s">
        <v>133</v>
      </c>
      <c r="B7">
        <v>2</v>
      </c>
    </row>
    <row r="8" spans="1:2">
      <c r="A8" t="s">
        <v>134</v>
      </c>
      <c r="B8">
        <v>2</v>
      </c>
    </row>
    <row r="9" spans="1:2">
      <c r="A9" t="s">
        <v>135</v>
      </c>
      <c r="B9">
        <v>2</v>
      </c>
    </row>
    <row r="11" spans="1:2">
      <c r="A11" s="2" t="s">
        <v>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1"/>
  <sheetViews>
    <sheetView zoomScaleNormal="100" workbookViewId="0"/>
  </sheetViews>
  <sheetFormatPr defaultColWidth="8.7109375" defaultRowHeight="15"/>
  <cols>
    <col min="1" max="2" width="12" customWidth="1"/>
    <col min="3" max="12" width="14" customWidth="1"/>
  </cols>
  <sheetData>
    <row r="1" spans="1:12">
      <c r="A1" s="10" t="s">
        <v>127</v>
      </c>
      <c r="B1" s="10" t="s">
        <v>159</v>
      </c>
      <c r="C1" s="10" t="s">
        <v>160</v>
      </c>
      <c r="D1" s="10" t="s">
        <v>161</v>
      </c>
      <c r="E1" s="10" t="s">
        <v>162</v>
      </c>
      <c r="F1" s="10" t="s">
        <v>163</v>
      </c>
      <c r="G1" s="10" t="s">
        <v>164</v>
      </c>
      <c r="H1" s="10" t="s">
        <v>165</v>
      </c>
      <c r="I1" s="10" t="s">
        <v>166</v>
      </c>
      <c r="J1" s="10" t="s">
        <v>167</v>
      </c>
      <c r="K1" s="10" t="s">
        <v>168</v>
      </c>
      <c r="L1" s="10" t="s">
        <v>169</v>
      </c>
    </row>
    <row r="2" spans="1:12">
      <c r="A2" t="s">
        <v>129</v>
      </c>
      <c r="B2" t="s">
        <v>170</v>
      </c>
      <c r="C2">
        <v>0.443</v>
      </c>
      <c r="D2">
        <v>5.8999999999999997E-2</v>
      </c>
      <c r="E2">
        <v>0.374</v>
      </c>
      <c r="F2">
        <v>7.9000000000000001E-2</v>
      </c>
      <c r="G2">
        <v>4.4999999999999998E-2</v>
      </c>
      <c r="H2">
        <f>INDEX(P_EF_Elec!$F:$F,MATCH(A2,P_EF_Elec!$A:$A,0))</f>
        <v>0.6722226</v>
      </c>
      <c r="I2">
        <f>INDEX(P_GasEff!$B:$B,MATCH(A2,P_GasEff!$A:$A,0))</f>
        <v>0.88</v>
      </c>
      <c r="J2">
        <f>INDEX(P_HPcop!$B:$B,MATCH(A2,P_HPcop!$A:$A,0))</f>
        <v>1.9</v>
      </c>
      <c r="K2">
        <f>C2*(63.28/I2)+D2*(79.8/0.84)+E2*H2+F2*(H2/J2)+G2*(1.1/0.65)</f>
        <v>37.81624267938637</v>
      </c>
      <c r="L2">
        <f>C2/I2+D2/0.84+E2+F2/J2+G2/0.65</f>
        <v>1.0584569027463764</v>
      </c>
    </row>
    <row r="3" spans="1:12">
      <c r="A3" t="s">
        <v>4</v>
      </c>
      <c r="B3" t="s">
        <v>170</v>
      </c>
      <c r="C3">
        <v>0.443</v>
      </c>
      <c r="D3">
        <v>5.8999999999999997E-2</v>
      </c>
      <c r="E3">
        <v>0.374</v>
      </c>
      <c r="F3">
        <v>7.9000000000000001E-2</v>
      </c>
      <c r="G3">
        <v>4.4999999999999998E-2</v>
      </c>
      <c r="H3">
        <f>INDEX(P_EF_Elec!$F:$F,MATCH(A3,P_EF_Elec!$A:$A,0))</f>
        <v>13.955564000000001</v>
      </c>
      <c r="I3">
        <f>INDEX(P_GasEff!$B:$B,MATCH(A3,P_GasEff!$A:$A,0))</f>
        <v>0.89</v>
      </c>
      <c r="J3">
        <f>INDEX(P_HPcop!$B:$B,MATCH(A3,P_HPcop!$A:$A,0))</f>
        <v>1.9</v>
      </c>
      <c r="K3">
        <f>C3*(63.28/I3)+D3*(79.8/0.84)+E3*H3+F3*(H3/J3)+G3*(1.1/0.65)</f>
        <v>42.97859019601546</v>
      </c>
      <c r="L3">
        <f>C3/I3+D3/0.84+E3+F3/J3+G3/0.65</f>
        <v>1.0528006208260496</v>
      </c>
    </row>
    <row r="4" spans="1:12">
      <c r="A4" t="s">
        <v>130</v>
      </c>
      <c r="B4" t="s">
        <v>170</v>
      </c>
      <c r="C4">
        <v>0.443</v>
      </c>
      <c r="D4">
        <v>5.8999999999999997E-2</v>
      </c>
      <c r="E4">
        <v>0.374</v>
      </c>
      <c r="F4">
        <v>7.9000000000000001E-2</v>
      </c>
      <c r="G4">
        <v>4.4999999999999998E-2</v>
      </c>
      <c r="H4">
        <f>INDEX(P_EF_Elec!$F:$F,MATCH(A4,P_EF_Elec!$A:$A,0))</f>
        <v>158.81121999999999</v>
      </c>
      <c r="I4">
        <f>INDEX(P_GasEff!$B:$B,MATCH(A4,P_GasEff!$A:$A,0))</f>
        <v>0.87</v>
      </c>
      <c r="J4">
        <f>INDEX(P_HPcop!$B:$B,MATCH(A4,P_HPcop!$A:$A,0))</f>
        <v>1.9</v>
      </c>
      <c r="K4">
        <f>C4*(63.28/I4)+D4*(79.8/0.84)+E4*H4+F4*(H4/J4)+G4*(1.1/0.65)</f>
        <v>103.90163854151984</v>
      </c>
      <c r="L4">
        <f>C4/I4+D4/0.84+E4+F4/J4+G4/0.65</f>
        <v>1.0642432141361362</v>
      </c>
    </row>
    <row r="5" spans="1:12">
      <c r="A5" t="s">
        <v>131</v>
      </c>
      <c r="B5" t="s">
        <v>170</v>
      </c>
      <c r="C5">
        <v>0.443</v>
      </c>
      <c r="D5">
        <v>5.8999999999999997E-2</v>
      </c>
      <c r="E5">
        <v>0.374</v>
      </c>
      <c r="F5">
        <v>7.9000000000000001E-2</v>
      </c>
      <c r="G5">
        <v>4.4999999999999998E-2</v>
      </c>
      <c r="H5">
        <f>INDEX(P_EF_Elec!$F:$F,MATCH(A5,P_EF_Elec!$A:$A,0))</f>
        <v>5.4666700000000006</v>
      </c>
      <c r="I5">
        <f>INDEX(P_GasEff!$B:$B,MATCH(A5,P_GasEff!$A:$A,0))</f>
        <v>0.87</v>
      </c>
      <c r="J5">
        <f>INDEX(P_HPcop!$B:$B,MATCH(A5,P_HPcop!$A:$A,0))</f>
        <v>1.9</v>
      </c>
      <c r="K5">
        <f>C5*(63.28/I5)+D5*(79.8/0.84)+E5*H5+F5*(H5/J5)+G5*(1.1/0.65)</f>
        <v>40.174871867835634</v>
      </c>
      <c r="L5">
        <f>C5/I5+D5/0.84+E5+F5/J5+G5/0.65</f>
        <v>1.0642432141361362</v>
      </c>
    </row>
    <row r="6" spans="1:12">
      <c r="A6" t="s">
        <v>132</v>
      </c>
      <c r="B6" t="s">
        <v>171</v>
      </c>
      <c r="C6">
        <v>0.53300000000000003</v>
      </c>
      <c r="D6">
        <v>8.5999999999999993E-2</v>
      </c>
      <c r="E6">
        <v>0.216</v>
      </c>
      <c r="F6">
        <v>0.14599999999999999</v>
      </c>
      <c r="G6">
        <v>1.9E-2</v>
      </c>
      <c r="H6">
        <f>INDEX(P_EF_Elec!$F:$F,MATCH(A6,P_EF_Elec!$A:$A,0))</f>
        <v>159.4786339937435</v>
      </c>
      <c r="I6">
        <f>INDEX(P_GasEff!$B:$B,MATCH(A6,P_GasEff!$A:$A,0))</f>
        <v>0.85</v>
      </c>
      <c r="J6">
        <f>INDEX(P_HPcop!$B:$B,MATCH(A6,P_HPcop!$A:$A,0))</f>
        <v>2</v>
      </c>
      <c r="K6">
        <f>C6*(63.28/I6)+D6*(79.8/0.84)+E6*H6+F6*(H6/J6)+G6*(1.1/0.65)</f>
        <v>93.971761423286893</v>
      </c>
      <c r="L6">
        <f>C6/I6+D6/0.84+E6+F6/J6+G6/0.65</f>
        <v>1.0476705451411332</v>
      </c>
    </row>
    <row r="7" spans="1:12">
      <c r="A7" t="s">
        <v>133</v>
      </c>
      <c r="B7" t="s">
        <v>171</v>
      </c>
      <c r="C7">
        <v>0.53300000000000003</v>
      </c>
      <c r="D7">
        <v>8.5999999999999993E-2</v>
      </c>
      <c r="E7">
        <v>0.216</v>
      </c>
      <c r="F7">
        <v>0.14599999999999999</v>
      </c>
      <c r="G7">
        <v>1.9E-2</v>
      </c>
      <c r="H7">
        <f>INDEX(P_EF_Elec!$F:$F,MATCH(A7,P_EF_Elec!$A:$A,0))</f>
        <v>123.3641294363257</v>
      </c>
      <c r="I7">
        <f>INDEX(P_GasEff!$B:$B,MATCH(A7,P_GasEff!$A:$A,0))</f>
        <v>0.85</v>
      </c>
      <c r="J7">
        <f>INDEX(P_HPcop!$B:$B,MATCH(A7,P_HPcop!$A:$A,0))</f>
        <v>2</v>
      </c>
      <c r="K7">
        <f>C7*(63.28/I7)+D7*(79.8/0.84)+E7*H7+F7*(H7/J7)+G7*(1.1/0.65)</f>
        <v>83.534669606193162</v>
      </c>
      <c r="L7">
        <f>C7/I7+D7/0.84+E7+F7/J7+G7/0.65</f>
        <v>1.0476705451411332</v>
      </c>
    </row>
    <row r="8" spans="1:12">
      <c r="A8" t="s">
        <v>134</v>
      </c>
      <c r="B8" t="s">
        <v>171</v>
      </c>
      <c r="C8">
        <v>0.53300000000000003</v>
      </c>
      <c r="D8">
        <v>8.5999999999999993E-2</v>
      </c>
      <c r="E8">
        <v>0.216</v>
      </c>
      <c r="F8">
        <v>0.14599999999999999</v>
      </c>
      <c r="G8">
        <v>1.9E-2</v>
      </c>
      <c r="H8">
        <f>INDEX(P_EF_Elec!$F:$F,MATCH(A8,P_EF_Elec!$A:$A,0))</f>
        <v>76.170705636743222</v>
      </c>
      <c r="I8">
        <f>INDEX(P_GasEff!$B:$B,MATCH(A8,P_GasEff!$A:$A,0))</f>
        <v>0.85</v>
      </c>
      <c r="J8">
        <f>INDEX(P_HPcop!$B:$B,MATCH(A8,P_HPcop!$A:$A,0))</f>
        <v>2</v>
      </c>
      <c r="K8">
        <f>C8*(63.28/I8)+D8*(79.8/0.84)+E8*H8+F8*(H8/J8)+G8*(1.1/0.65)</f>
        <v>69.895770128113824</v>
      </c>
      <c r="L8">
        <f>C8/I8+D8/0.84+E8+F8/J8+G8/0.65</f>
        <v>1.0476705451411332</v>
      </c>
    </row>
    <row r="9" spans="1:12">
      <c r="A9" t="s">
        <v>135</v>
      </c>
      <c r="B9" t="s">
        <v>171</v>
      </c>
      <c r="C9">
        <v>0.53300000000000003</v>
      </c>
      <c r="D9">
        <v>8.5999999999999993E-2</v>
      </c>
      <c r="E9">
        <v>0.216</v>
      </c>
      <c r="F9">
        <v>0.14599999999999999</v>
      </c>
      <c r="G9">
        <v>1.9E-2</v>
      </c>
      <c r="H9">
        <f>INDEX(P_EF_Elec!$F:$F,MATCH(A9,P_EF_Elec!$A:$A,0))</f>
        <v>41.748110531803974</v>
      </c>
      <c r="I9">
        <f>INDEX(P_GasEff!$B:$B,MATCH(A9,P_GasEff!$A:$A,0))</f>
        <v>0.85</v>
      </c>
      <c r="J9">
        <f>INDEX(P_HPcop!$B:$B,MATCH(A9,P_HPcop!$A:$A,0))</f>
        <v>2</v>
      </c>
      <c r="K9">
        <f>C9*(63.28/I9)+D9*(79.8/0.84)+E9*H9+F9*(H9/J9)+G9*(1.1/0.65)</f>
        <v>59.947640142786383</v>
      </c>
      <c r="L9">
        <f>C9/I9+D9/0.84+E9+F9/J9+G9/0.65</f>
        <v>1.0476705451411332</v>
      </c>
    </row>
    <row r="11" spans="1:12">
      <c r="A11" s="2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"/>
  <sheetViews>
    <sheetView zoomScaleNormal="100" workbookViewId="0"/>
  </sheetViews>
  <sheetFormatPr defaultColWidth="8.7109375" defaultRowHeight="15"/>
  <cols>
    <col min="1" max="2" width="12" customWidth="1"/>
    <col min="3" max="9" width="14" customWidth="1"/>
  </cols>
  <sheetData>
    <row r="1" spans="1:9">
      <c r="A1" s="10" t="s">
        <v>127</v>
      </c>
      <c r="B1" s="10" t="s">
        <v>159</v>
      </c>
      <c r="C1" s="10" t="s">
        <v>160</v>
      </c>
      <c r="D1" s="10" t="s">
        <v>173</v>
      </c>
      <c r="E1" s="10" t="s">
        <v>161</v>
      </c>
      <c r="F1" s="10" t="s">
        <v>174</v>
      </c>
      <c r="G1" s="10" t="s">
        <v>165</v>
      </c>
      <c r="H1" s="10" t="s">
        <v>168</v>
      </c>
      <c r="I1" s="10" t="s">
        <v>175</v>
      </c>
    </row>
    <row r="2" spans="1:9">
      <c r="A2" t="s">
        <v>129</v>
      </c>
      <c r="B2" t="s">
        <v>170</v>
      </c>
      <c r="C2">
        <v>0.49</v>
      </c>
      <c r="D2">
        <v>0.49199999999999999</v>
      </c>
      <c r="E2">
        <v>1.7999999999999999E-2</v>
      </c>
      <c r="F2">
        <v>0</v>
      </c>
      <c r="G2">
        <f>INDEX(P_EF_Elec!$F:$F,MATCH(A2,P_EF_Elec!$A:$A,0))</f>
        <v>0.6722226</v>
      </c>
      <c r="H2">
        <f>C2*(63.28/0.6)+D2*(G2/0.9)+E2*(79.8/0.59)+F2*(G2/2.5)</f>
        <v>54.480724625853099</v>
      </c>
      <c r="I2">
        <f>C2/0.6+D2/0.9+E2/0.59+F2/2.5</f>
        <v>1.3938418079096044</v>
      </c>
    </row>
    <row r="3" spans="1:9">
      <c r="A3" t="s">
        <v>4</v>
      </c>
      <c r="B3" t="s">
        <v>170</v>
      </c>
      <c r="C3">
        <v>0.49</v>
      </c>
      <c r="D3">
        <v>0.49199999999999999</v>
      </c>
      <c r="E3">
        <v>1.7999999999999999E-2</v>
      </c>
      <c r="F3">
        <v>0</v>
      </c>
      <c r="G3">
        <f>INDEX(P_EF_Elec!$F:$F,MATCH(A3,P_EF_Elec!$A:$A,0))</f>
        <v>13.955564000000001</v>
      </c>
      <c r="H3">
        <f>C3*(63.28/0.6)+D3*(G3/0.9)+E3*(79.8/0.59)+F3*(G3/2.5)</f>
        <v>61.742284591186433</v>
      </c>
      <c r="I3">
        <f>C3/0.6+D3/0.9+E3/0.59+F3/2.5</f>
        <v>1.3938418079096044</v>
      </c>
    </row>
    <row r="4" spans="1:9">
      <c r="A4" t="s">
        <v>130</v>
      </c>
      <c r="B4" t="s">
        <v>170</v>
      </c>
      <c r="C4">
        <v>0.49</v>
      </c>
      <c r="D4">
        <v>0.49199999999999999</v>
      </c>
      <c r="E4">
        <v>1.7999999999999999E-2</v>
      </c>
      <c r="F4">
        <v>0</v>
      </c>
      <c r="G4">
        <f>INDEX(P_EF_Elec!$F:$F,MATCH(A4,P_EF_Elec!$A:$A,0))</f>
        <v>158.81121999999999</v>
      </c>
      <c r="H4">
        <f>C4*(63.28/0.6)+D4*(G4/0.9)+E4*(79.8/0.59)+F4*(G4/2.5)</f>
        <v>140.93004320451976</v>
      </c>
      <c r="I4">
        <f>C4/0.6+D4/0.9+E4/0.59+F4/2.5</f>
        <v>1.3938418079096044</v>
      </c>
    </row>
    <row r="5" spans="1:9">
      <c r="A5" t="s">
        <v>131</v>
      </c>
      <c r="B5" t="s">
        <v>170</v>
      </c>
      <c r="C5">
        <v>0.49</v>
      </c>
      <c r="D5">
        <v>0.49199999999999999</v>
      </c>
      <c r="E5">
        <v>1.7999999999999999E-2</v>
      </c>
      <c r="F5">
        <v>0</v>
      </c>
      <c r="G5">
        <f>INDEX(P_EF_Elec!$F:$F,MATCH(A5,P_EF_Elec!$A:$A,0))</f>
        <v>5.4666700000000006</v>
      </c>
      <c r="H5">
        <f>C5*(63.28/0.6)+D5*(G5/0.9)+E5*(79.8/0.59)+F5*(G5/2.5)</f>
        <v>57.101689204519772</v>
      </c>
      <c r="I5">
        <f>C5/0.6+D5/0.9+E5/0.59+F5/2.5</f>
        <v>1.3938418079096044</v>
      </c>
    </row>
    <row r="6" spans="1:9">
      <c r="A6" t="s">
        <v>132</v>
      </c>
      <c r="B6" t="s">
        <v>171</v>
      </c>
      <c r="C6">
        <v>0.48199999999999998</v>
      </c>
      <c r="D6">
        <v>0.46300000000000002</v>
      </c>
      <c r="E6">
        <v>5.5E-2</v>
      </c>
      <c r="F6">
        <v>0</v>
      </c>
      <c r="G6">
        <f>INDEX(P_EF_Elec!$F:$F,MATCH(A6,P_EF_Elec!$A:$A,0))</f>
        <v>159.4786339937435</v>
      </c>
      <c r="H6">
        <f>C6*(63.28/0.6)+D6*(G6/0.9)+E6*(79.8/0.59)+F6*(G6/2.5)</f>
        <v>140.31681364985107</v>
      </c>
      <c r="I6">
        <f>C6/0.6+D6/0.9+E6/0.59+F6/2.5</f>
        <v>1.4109981167608285</v>
      </c>
    </row>
    <row r="7" spans="1:9">
      <c r="A7" t="s">
        <v>133</v>
      </c>
      <c r="B7" t="s">
        <v>171</v>
      </c>
      <c r="C7">
        <v>0.48199999999999998</v>
      </c>
      <c r="D7">
        <v>0.46300000000000002</v>
      </c>
      <c r="E7">
        <v>5.5E-2</v>
      </c>
      <c r="F7">
        <v>0</v>
      </c>
      <c r="G7">
        <f>INDEX(P_EF_Elec!$F:$F,MATCH(A7,P_EF_Elec!$A:$A,0))</f>
        <v>123.3641294363257</v>
      </c>
      <c r="H7">
        <f>C7*(63.28/0.6)+D7*(G7/0.9)+E7*(79.8/0.59)+F7*(G7/2.5)</f>
        <v>121.73790741642391</v>
      </c>
      <c r="I7">
        <f>C7/0.6+D7/0.9+E7/0.59+F7/2.5</f>
        <v>1.4109981167608285</v>
      </c>
    </row>
    <row r="8" spans="1:9">
      <c r="A8" t="s">
        <v>134</v>
      </c>
      <c r="B8" t="s">
        <v>171</v>
      </c>
      <c r="C8">
        <v>0.48199999999999998</v>
      </c>
      <c r="D8">
        <v>0.46300000000000002</v>
      </c>
      <c r="E8">
        <v>5.5E-2</v>
      </c>
      <c r="F8">
        <v>0</v>
      </c>
      <c r="G8">
        <f>INDEX(P_EF_Elec!$F:$F,MATCH(A8,P_EF_Elec!$A:$A,0))</f>
        <v>76.170705636743222</v>
      </c>
      <c r="H8">
        <f>C8*(63.28/0.6)+D8*(G8/0.9)+E8*(79.8/0.59)+F8*(G8/2.5)</f>
        <v>97.45951272841647</v>
      </c>
      <c r="I8">
        <f>C8/0.6+D8/0.9+E8/0.59+F8/2.5</f>
        <v>1.4109981167608285</v>
      </c>
    </row>
    <row r="9" spans="1:9">
      <c r="A9" t="s">
        <v>135</v>
      </c>
      <c r="B9" t="s">
        <v>171</v>
      </c>
      <c r="C9">
        <v>0.48199999999999998</v>
      </c>
      <c r="D9">
        <v>0.46300000000000002</v>
      </c>
      <c r="E9">
        <v>5.5E-2</v>
      </c>
      <c r="F9">
        <v>0</v>
      </c>
      <c r="G9">
        <f>INDEX(P_EF_Elec!$F:$F,MATCH(A9,P_EF_Elec!$A:$A,0))</f>
        <v>41.748110531803974</v>
      </c>
      <c r="H9">
        <f>C9*(63.28/0.6)+D9*(G9/0.9)+E9*(79.8/0.59)+F9*(G9/2.5)</f>
        <v>79.750999913319944</v>
      </c>
      <c r="I9">
        <f>C9/0.6+D9/0.9+E9/0.59+F9/2.5</f>
        <v>1.4109981167608285</v>
      </c>
    </row>
    <row r="11" spans="1:9">
      <c r="A11" s="2" t="s">
        <v>176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2026-06-20T00:56:20Z</dcterms:created>
  <dcterms:modified xsi:type="dcterms:W3CDTF">2026-06-24T14:18:00Z</dcterms:modified>
  <cp:category/>
  <cp:contentStatus/>
</cp:coreProperties>
</file>