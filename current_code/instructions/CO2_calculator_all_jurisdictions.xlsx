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xr:revisionPtr revIDLastSave="0" documentId="8_{523A97AB-DF78-459B-9C3A-B278C0BCDBD5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Calculator" sheetId="1" r:id="rId1"/>
    <sheet name="P_Heating" sheetId="2" r:id="rId2"/>
    <sheet name="P_Cooling" sheetId="3" r:id="rId3"/>
    <sheet name="P_BuildingType" sheetId="4" r:id="rId4"/>
    <sheet name="P_Systems" sheetId="5" r:id="rId5"/>
    <sheet name="P_WaterHeat" sheetId="6" r:id="rId6"/>
    <sheet name="P_U_water" sheetId="7" r:id="rId7"/>
    <sheet name="P_OtherElec" sheetId="8" r:id="rId8"/>
    <sheet name="P_Size" sheetId="9" r:id="rId9"/>
    <sheet name="P_EF_Fuel" sheetId="10" r:id="rId10"/>
    <sheet name="P_EF_Elec" sheetId="11" r:id="rId11"/>
    <sheet name="P_Vehicle" sheetId="12" r:id="rId12"/>
    <sheet name="P_GasEff" sheetId="13" r:id="rId13"/>
    <sheet name="P_HPcop" sheetId="14" r:id="rId14"/>
    <sheet name="P_DKHeat" sheetId="15" r:id="rId15"/>
    <sheet name="P_DKWater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5" i="16" l="1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J65" i="15"/>
  <c r="I65" i="15"/>
  <c r="J64" i="15"/>
  <c r="I64" i="15"/>
  <c r="J63" i="15"/>
  <c r="I63" i="15"/>
  <c r="J62" i="15"/>
  <c r="I62" i="15"/>
  <c r="J61" i="15"/>
  <c r="I61" i="15"/>
  <c r="J60" i="15"/>
  <c r="I60" i="15"/>
  <c r="J59" i="15"/>
  <c r="I59" i="15"/>
  <c r="J58" i="15"/>
  <c r="I58" i="15"/>
  <c r="J57" i="15"/>
  <c r="I57" i="15"/>
  <c r="J56" i="15"/>
  <c r="I56" i="15"/>
  <c r="J55" i="15"/>
  <c r="I55" i="15"/>
  <c r="J54" i="15"/>
  <c r="I54" i="15"/>
  <c r="J53" i="15"/>
  <c r="I53" i="15"/>
  <c r="J52" i="15"/>
  <c r="I52" i="15"/>
  <c r="J51" i="15"/>
  <c r="I51" i="15"/>
  <c r="J50" i="15"/>
  <c r="I50" i="15"/>
  <c r="J49" i="15"/>
  <c r="I49" i="15"/>
  <c r="J48" i="15"/>
  <c r="I48" i="15"/>
  <c r="J47" i="15"/>
  <c r="I47" i="15"/>
  <c r="J46" i="15"/>
  <c r="I46" i="15"/>
  <c r="J45" i="15"/>
  <c r="I45" i="15"/>
  <c r="J44" i="15"/>
  <c r="I44" i="15"/>
  <c r="J43" i="15"/>
  <c r="I43" i="15"/>
  <c r="J42" i="15"/>
  <c r="I42" i="15"/>
  <c r="J41" i="15"/>
  <c r="I41" i="15"/>
  <c r="J40" i="15"/>
  <c r="I40" i="15"/>
  <c r="J39" i="15"/>
  <c r="I39" i="15"/>
  <c r="J38" i="15"/>
  <c r="I38" i="15"/>
  <c r="J37" i="15"/>
  <c r="I37" i="15"/>
  <c r="J36" i="15"/>
  <c r="I36" i="15"/>
  <c r="J35" i="15"/>
  <c r="I35" i="15"/>
  <c r="J34" i="15"/>
  <c r="I34" i="15"/>
  <c r="J33" i="15"/>
  <c r="I33" i="15"/>
  <c r="J32" i="15"/>
  <c r="I32" i="15"/>
  <c r="J31" i="15"/>
  <c r="I31" i="15"/>
  <c r="J30" i="15"/>
  <c r="I30" i="15"/>
  <c r="J29" i="15"/>
  <c r="I29" i="15"/>
  <c r="J28" i="15"/>
  <c r="I28" i="15"/>
  <c r="J27" i="15"/>
  <c r="I27" i="15"/>
  <c r="J26" i="15"/>
  <c r="I26" i="15"/>
  <c r="J25" i="15"/>
  <c r="I25" i="15"/>
  <c r="J24" i="15"/>
  <c r="I24" i="15"/>
  <c r="J23" i="15"/>
  <c r="I23" i="15"/>
  <c r="J22" i="15"/>
  <c r="I22" i="15"/>
  <c r="J21" i="15"/>
  <c r="I21" i="15"/>
  <c r="J20" i="15"/>
  <c r="I20" i="15"/>
  <c r="J19" i="15"/>
  <c r="I19" i="15"/>
  <c r="J18" i="15"/>
  <c r="I18" i="15"/>
  <c r="J17" i="15"/>
  <c r="I17" i="15"/>
  <c r="J16" i="15"/>
  <c r="I16" i="15"/>
  <c r="J15" i="15"/>
  <c r="I15" i="15"/>
  <c r="J14" i="15"/>
  <c r="I14" i="15"/>
  <c r="J13" i="15"/>
  <c r="I13" i="15"/>
  <c r="J12" i="15"/>
  <c r="I12" i="15"/>
  <c r="J11" i="15"/>
  <c r="I11" i="15"/>
  <c r="J10" i="15"/>
  <c r="I10" i="15"/>
  <c r="J9" i="15"/>
  <c r="I9" i="15"/>
  <c r="J8" i="15"/>
  <c r="I8" i="15"/>
  <c r="J7" i="15"/>
  <c r="I7" i="15"/>
  <c r="J6" i="15"/>
  <c r="I6" i="15"/>
  <c r="J5" i="15"/>
  <c r="I5" i="15"/>
  <c r="J4" i="15"/>
  <c r="I4" i="15"/>
  <c r="J3" i="15"/>
  <c r="I3" i="15"/>
  <c r="J2" i="15"/>
  <c r="I2" i="15"/>
  <c r="D65" i="11"/>
  <c r="F65" i="11" s="1"/>
  <c r="D64" i="11"/>
  <c r="F64" i="11" s="1"/>
  <c r="D63" i="11"/>
  <c r="F63" i="11" s="1"/>
  <c r="D62" i="11"/>
  <c r="F62" i="11" s="1"/>
  <c r="D61" i="11"/>
  <c r="F61" i="11" s="1"/>
  <c r="D60" i="11"/>
  <c r="F60" i="11" s="1"/>
  <c r="D59" i="11"/>
  <c r="F59" i="11" s="1"/>
  <c r="D58" i="11"/>
  <c r="F58" i="11" s="1"/>
  <c r="D57" i="11"/>
  <c r="F57" i="11" s="1"/>
  <c r="D56" i="11"/>
  <c r="F56" i="11" s="1"/>
  <c r="D55" i="11"/>
  <c r="F55" i="11" s="1"/>
  <c r="D54" i="11"/>
  <c r="F54" i="11" s="1"/>
  <c r="D53" i="11"/>
  <c r="F53" i="11" s="1"/>
  <c r="D52" i="11"/>
  <c r="F52" i="11" s="1"/>
  <c r="D51" i="11"/>
  <c r="F51" i="11" s="1"/>
  <c r="D50" i="11"/>
  <c r="F50" i="11" s="1"/>
  <c r="D49" i="11"/>
  <c r="F49" i="11" s="1"/>
  <c r="D48" i="11"/>
  <c r="F48" i="11" s="1"/>
  <c r="D47" i="11"/>
  <c r="F47" i="11" s="1"/>
  <c r="D46" i="11"/>
  <c r="F46" i="11" s="1"/>
  <c r="D45" i="11"/>
  <c r="F45" i="11" s="1"/>
  <c r="D44" i="11"/>
  <c r="F44" i="11" s="1"/>
  <c r="D43" i="11"/>
  <c r="F43" i="11" s="1"/>
  <c r="D42" i="11"/>
  <c r="F42" i="11" s="1"/>
  <c r="D41" i="11"/>
  <c r="F41" i="11" s="1"/>
  <c r="D40" i="11"/>
  <c r="F40" i="11" s="1"/>
  <c r="D39" i="11"/>
  <c r="F39" i="11" s="1"/>
  <c r="D38" i="11"/>
  <c r="F38" i="11" s="1"/>
  <c r="D37" i="11"/>
  <c r="F37" i="11" s="1"/>
  <c r="D36" i="11"/>
  <c r="F36" i="11" s="1"/>
  <c r="D35" i="11"/>
  <c r="F35" i="11" s="1"/>
  <c r="D34" i="11"/>
  <c r="F34" i="11" s="1"/>
  <c r="D33" i="11"/>
  <c r="F33" i="11" s="1"/>
  <c r="D32" i="11"/>
  <c r="F32" i="11" s="1"/>
  <c r="D31" i="11"/>
  <c r="F31" i="11" s="1"/>
  <c r="D30" i="11"/>
  <c r="F30" i="11" s="1"/>
  <c r="D29" i="11"/>
  <c r="F29" i="11" s="1"/>
  <c r="D28" i="11"/>
  <c r="F28" i="11" s="1"/>
  <c r="D27" i="11"/>
  <c r="F27" i="11" s="1"/>
  <c r="D26" i="11"/>
  <c r="F26" i="11" s="1"/>
  <c r="D25" i="11"/>
  <c r="F25" i="11" s="1"/>
  <c r="D24" i="11"/>
  <c r="F24" i="11" s="1"/>
  <c r="D23" i="11"/>
  <c r="F23" i="11" s="1"/>
  <c r="D22" i="11"/>
  <c r="F22" i="11" s="1"/>
  <c r="D21" i="11"/>
  <c r="F21" i="11" s="1"/>
  <c r="D20" i="11"/>
  <c r="F20" i="11" s="1"/>
  <c r="D19" i="11"/>
  <c r="F19" i="11" s="1"/>
  <c r="D18" i="11"/>
  <c r="F18" i="11" s="1"/>
  <c r="D17" i="11"/>
  <c r="F17" i="11" s="1"/>
  <c r="D16" i="11"/>
  <c r="F16" i="11" s="1"/>
  <c r="D15" i="11"/>
  <c r="F15" i="11" s="1"/>
  <c r="D14" i="11"/>
  <c r="F14" i="11" s="1"/>
  <c r="D13" i="11"/>
  <c r="F13" i="11" s="1"/>
  <c r="D12" i="11"/>
  <c r="F12" i="11" s="1"/>
  <c r="D11" i="11"/>
  <c r="F11" i="11" s="1"/>
  <c r="D10" i="11"/>
  <c r="F10" i="11" s="1"/>
  <c r="D9" i="11"/>
  <c r="F9" i="11" s="1"/>
  <c r="D8" i="11"/>
  <c r="F8" i="11" s="1"/>
  <c r="D7" i="11"/>
  <c r="F7" i="11" s="1"/>
  <c r="D6" i="11"/>
  <c r="F6" i="11" s="1"/>
  <c r="D5" i="11"/>
  <c r="F5" i="11" s="1"/>
  <c r="D4" i="11"/>
  <c r="F4" i="11" s="1"/>
  <c r="D3" i="11"/>
  <c r="F3" i="11" s="1"/>
  <c r="D2" i="11"/>
  <c r="F2" i="11" s="1"/>
  <c r="D4" i="10"/>
  <c r="D3" i="10"/>
  <c r="D2" i="10"/>
  <c r="F26" i="1"/>
  <c r="E26" i="1"/>
  <c r="F25" i="1"/>
  <c r="E25" i="1"/>
  <c r="B22" i="1"/>
  <c r="B21" i="1"/>
  <c r="G28" i="1" s="1"/>
  <c r="B20" i="1"/>
  <c r="B19" i="1"/>
  <c r="B18" i="1"/>
  <c r="I26" i="1" s="1"/>
  <c r="G26" i="1" s="1"/>
  <c r="B17" i="1"/>
  <c r="B16" i="1"/>
  <c r="G27" i="1" l="1"/>
  <c r="I25" i="1"/>
  <c r="G25" i="1" s="1"/>
  <c r="D26" i="1"/>
  <c r="D28" i="1"/>
  <c r="B28" i="1"/>
  <c r="H25" i="1"/>
  <c r="H26" i="1"/>
  <c r="B26" i="1" s="1"/>
  <c r="G2" i="16"/>
  <c r="H2" i="16" s="1"/>
  <c r="H2" i="15"/>
  <c r="G3" i="16"/>
  <c r="H3" i="16" s="1"/>
  <c r="H3" i="15"/>
  <c r="G4" i="16"/>
  <c r="H4" i="16" s="1"/>
  <c r="H4" i="15"/>
  <c r="G5" i="16"/>
  <c r="H5" i="16" s="1"/>
  <c r="H5" i="15"/>
  <c r="G6" i="16"/>
  <c r="H6" i="16" s="1"/>
  <c r="H6" i="15"/>
  <c r="G7" i="16"/>
  <c r="H7" i="16" s="1"/>
  <c r="H7" i="15"/>
  <c r="G8" i="16"/>
  <c r="H8" i="16" s="1"/>
  <c r="H8" i="15"/>
  <c r="G9" i="16"/>
  <c r="H9" i="16" s="1"/>
  <c r="H9" i="15"/>
  <c r="G10" i="16"/>
  <c r="H10" i="16" s="1"/>
  <c r="H10" i="15"/>
  <c r="G11" i="16"/>
  <c r="H11" i="16" s="1"/>
  <c r="H11" i="15"/>
  <c r="G12" i="16"/>
  <c r="H12" i="16" s="1"/>
  <c r="H12" i="15"/>
  <c r="G13" i="16"/>
  <c r="H13" i="16" s="1"/>
  <c r="H13" i="15"/>
  <c r="G14" i="16"/>
  <c r="H14" i="16" s="1"/>
  <c r="H14" i="15"/>
  <c r="G15" i="16"/>
  <c r="H15" i="16" s="1"/>
  <c r="H15" i="15"/>
  <c r="G16" i="16"/>
  <c r="H16" i="16" s="1"/>
  <c r="H16" i="15"/>
  <c r="G17" i="16"/>
  <c r="H17" i="16" s="1"/>
  <c r="H17" i="15"/>
  <c r="G18" i="16"/>
  <c r="H18" i="16" s="1"/>
  <c r="H18" i="15"/>
  <c r="G19" i="16"/>
  <c r="H19" i="16" s="1"/>
  <c r="H19" i="15"/>
  <c r="G20" i="16"/>
  <c r="H20" i="16" s="1"/>
  <c r="H20" i="15"/>
  <c r="G21" i="16"/>
  <c r="H21" i="16" s="1"/>
  <c r="H21" i="15"/>
  <c r="G22" i="16"/>
  <c r="H22" i="16" s="1"/>
  <c r="H22" i="15"/>
  <c r="G23" i="16"/>
  <c r="H23" i="16" s="1"/>
  <c r="H23" i="15"/>
  <c r="G24" i="16"/>
  <c r="H24" i="16" s="1"/>
  <c r="H24" i="15"/>
  <c r="G25" i="16"/>
  <c r="H25" i="16" s="1"/>
  <c r="H25" i="15"/>
  <c r="G26" i="16"/>
  <c r="H26" i="16" s="1"/>
  <c r="H26" i="15"/>
  <c r="G27" i="16"/>
  <c r="H27" i="16" s="1"/>
  <c r="H27" i="15"/>
  <c r="G28" i="16"/>
  <c r="H28" i="16" s="1"/>
  <c r="H28" i="15"/>
  <c r="G29" i="16"/>
  <c r="H29" i="16" s="1"/>
  <c r="H29" i="15"/>
  <c r="G30" i="16"/>
  <c r="H30" i="16" s="1"/>
  <c r="H30" i="15"/>
  <c r="G31" i="16"/>
  <c r="H31" i="16" s="1"/>
  <c r="H31" i="15"/>
  <c r="G32" i="16"/>
  <c r="H32" i="16" s="1"/>
  <c r="H32" i="15"/>
  <c r="G33" i="16"/>
  <c r="H33" i="16" s="1"/>
  <c r="H33" i="15"/>
  <c r="G34" i="16"/>
  <c r="H34" i="16" s="1"/>
  <c r="H34" i="15"/>
  <c r="G35" i="16"/>
  <c r="H35" i="16" s="1"/>
  <c r="H35" i="15"/>
  <c r="G36" i="16"/>
  <c r="H36" i="16" s="1"/>
  <c r="H36" i="15"/>
  <c r="G37" i="16"/>
  <c r="H37" i="16" s="1"/>
  <c r="H37" i="15"/>
  <c r="G38" i="16"/>
  <c r="H38" i="16" s="1"/>
  <c r="H38" i="15"/>
  <c r="G39" i="16"/>
  <c r="H39" i="16" s="1"/>
  <c r="H39" i="15"/>
  <c r="G40" i="16"/>
  <c r="H40" i="16" s="1"/>
  <c r="H40" i="15"/>
  <c r="G41" i="16"/>
  <c r="H41" i="16" s="1"/>
  <c r="H41" i="15"/>
  <c r="G42" i="16"/>
  <c r="H42" i="16" s="1"/>
  <c r="H42" i="15"/>
  <c r="G43" i="16"/>
  <c r="H43" i="16" s="1"/>
  <c r="H43" i="15"/>
  <c r="G44" i="16"/>
  <c r="H44" i="16" s="1"/>
  <c r="H44" i="15"/>
  <c r="G45" i="16"/>
  <c r="H45" i="16" s="1"/>
  <c r="H45" i="15"/>
  <c r="G46" i="16"/>
  <c r="H46" i="16" s="1"/>
  <c r="H46" i="15"/>
  <c r="G47" i="16"/>
  <c r="H47" i="16" s="1"/>
  <c r="H47" i="15"/>
  <c r="G48" i="16"/>
  <c r="H48" i="16" s="1"/>
  <c r="H48" i="15"/>
  <c r="G49" i="16"/>
  <c r="H49" i="16" s="1"/>
  <c r="H49" i="15"/>
  <c r="G50" i="16"/>
  <c r="H50" i="16" s="1"/>
  <c r="H50" i="15"/>
  <c r="G51" i="16"/>
  <c r="H51" i="16" s="1"/>
  <c r="H51" i="15"/>
  <c r="G52" i="16"/>
  <c r="H52" i="16" s="1"/>
  <c r="H52" i="15"/>
  <c r="G53" i="16"/>
  <c r="H53" i="16" s="1"/>
  <c r="H53" i="15"/>
  <c r="G54" i="16"/>
  <c r="H54" i="16" s="1"/>
  <c r="H54" i="15"/>
  <c r="G55" i="16"/>
  <c r="H55" i="16" s="1"/>
  <c r="H55" i="15"/>
  <c r="G56" i="16"/>
  <c r="H56" i="16" s="1"/>
  <c r="H56" i="15"/>
  <c r="G57" i="16"/>
  <c r="H57" i="16" s="1"/>
  <c r="H57" i="15"/>
  <c r="G58" i="16"/>
  <c r="H58" i="16" s="1"/>
  <c r="H58" i="15"/>
  <c r="G59" i="16"/>
  <c r="H59" i="16" s="1"/>
  <c r="H59" i="15"/>
  <c r="G60" i="16"/>
  <c r="H60" i="16" s="1"/>
  <c r="H60" i="15"/>
  <c r="G61" i="16"/>
  <c r="H61" i="16" s="1"/>
  <c r="H61" i="15"/>
  <c r="G62" i="16"/>
  <c r="H62" i="16" s="1"/>
  <c r="H62" i="15"/>
  <c r="G63" i="16"/>
  <c r="H63" i="16" s="1"/>
  <c r="H63" i="15"/>
  <c r="G64" i="16"/>
  <c r="H64" i="16" s="1"/>
  <c r="H64" i="15"/>
  <c r="G65" i="16"/>
  <c r="H65" i="16" s="1"/>
  <c r="H65" i="15"/>
  <c r="L2" i="15"/>
  <c r="K2" i="15"/>
  <c r="L3" i="15"/>
  <c r="K3" i="15"/>
  <c r="L4" i="15"/>
  <c r="K4" i="15"/>
  <c r="L5" i="15"/>
  <c r="K5" i="15"/>
  <c r="L6" i="15"/>
  <c r="K6" i="15"/>
  <c r="L7" i="15"/>
  <c r="K7" i="15"/>
  <c r="L8" i="15"/>
  <c r="K8" i="15"/>
  <c r="L9" i="15"/>
  <c r="K9" i="15"/>
  <c r="L10" i="15"/>
  <c r="K10" i="15"/>
  <c r="L11" i="15"/>
  <c r="K11" i="15"/>
  <c r="L12" i="15"/>
  <c r="K12" i="15"/>
  <c r="L13" i="15"/>
  <c r="K13" i="15"/>
  <c r="L14" i="15"/>
  <c r="K14" i="15"/>
  <c r="L15" i="15"/>
  <c r="K15" i="15"/>
  <c r="L16" i="15"/>
  <c r="K16" i="15"/>
  <c r="L17" i="15"/>
  <c r="K17" i="15"/>
  <c r="L18" i="15"/>
  <c r="K18" i="15"/>
  <c r="L19" i="15"/>
  <c r="K19" i="15"/>
  <c r="L20" i="15"/>
  <c r="K20" i="15"/>
  <c r="L21" i="15"/>
  <c r="K21" i="15"/>
  <c r="L22" i="15"/>
  <c r="K22" i="15"/>
  <c r="L23" i="15"/>
  <c r="K23" i="15"/>
  <c r="L24" i="15"/>
  <c r="K24" i="15"/>
  <c r="L25" i="15"/>
  <c r="K25" i="15"/>
  <c r="L26" i="15"/>
  <c r="K26" i="15"/>
  <c r="L27" i="15"/>
  <c r="K27" i="15"/>
  <c r="L28" i="15"/>
  <c r="K28" i="15"/>
  <c r="L29" i="15"/>
  <c r="K29" i="15"/>
  <c r="L30" i="15"/>
  <c r="K30" i="15"/>
  <c r="L31" i="15"/>
  <c r="K31" i="15"/>
  <c r="L32" i="15"/>
  <c r="K32" i="15"/>
  <c r="L33" i="15"/>
  <c r="K33" i="15"/>
  <c r="L34" i="15"/>
  <c r="K34" i="15"/>
  <c r="L35" i="15"/>
  <c r="K35" i="15"/>
  <c r="L36" i="15"/>
  <c r="K36" i="15"/>
  <c r="L37" i="15"/>
  <c r="K37" i="15"/>
  <c r="L38" i="15"/>
  <c r="K38" i="15"/>
  <c r="L39" i="15"/>
  <c r="K39" i="15"/>
  <c r="L40" i="15"/>
  <c r="K40" i="15"/>
  <c r="L41" i="15"/>
  <c r="K41" i="15"/>
  <c r="L42" i="15"/>
  <c r="K42" i="15"/>
  <c r="L43" i="15"/>
  <c r="K43" i="15"/>
  <c r="L44" i="15"/>
  <c r="K44" i="15"/>
  <c r="L45" i="15"/>
  <c r="K45" i="15"/>
  <c r="L46" i="15"/>
  <c r="K46" i="15"/>
  <c r="L47" i="15"/>
  <c r="K47" i="15"/>
  <c r="L48" i="15"/>
  <c r="K48" i="15"/>
  <c r="L49" i="15"/>
  <c r="K49" i="15"/>
  <c r="L50" i="15"/>
  <c r="K50" i="15"/>
  <c r="L51" i="15"/>
  <c r="K51" i="15"/>
  <c r="L52" i="15"/>
  <c r="K52" i="15"/>
  <c r="L53" i="15"/>
  <c r="K53" i="15"/>
  <c r="L54" i="15"/>
  <c r="K54" i="15"/>
  <c r="L55" i="15"/>
  <c r="K55" i="15"/>
  <c r="L56" i="15"/>
  <c r="K56" i="15"/>
  <c r="L57" i="15"/>
  <c r="K57" i="15"/>
  <c r="L58" i="15"/>
  <c r="K58" i="15"/>
  <c r="L59" i="15"/>
  <c r="K59" i="15"/>
  <c r="L60" i="15"/>
  <c r="K60" i="15"/>
  <c r="L61" i="15"/>
  <c r="K61" i="15"/>
  <c r="L62" i="15"/>
  <c r="K62" i="15"/>
  <c r="L63" i="15"/>
  <c r="K63" i="15"/>
  <c r="L64" i="15"/>
  <c r="K64" i="15"/>
  <c r="L65" i="15"/>
  <c r="K65" i="15"/>
  <c r="D25" i="1" l="1"/>
  <c r="B25" i="1"/>
  <c r="D27" i="1"/>
  <c r="B27" i="1"/>
  <c r="B29" i="1" l="1"/>
  <c r="B32" i="1" l="1"/>
  <c r="B31" i="1"/>
  <c r="B30" i="1"/>
</calcChain>
</file>

<file path=xl/sharedStrings.xml><?xml version="1.0" encoding="utf-8"?>
<sst xmlns="http://schemas.openxmlformats.org/spreadsheetml/2006/main" count="1526" uniqueCount="680">
  <si>
    <t>Residential CO2 Footprint Calculator</t>
  </si>
  <si>
    <t>Enter the blue cells (dropdowns). Lifecycle basis: combustion + upstream (well-to-tank). Results update in Excel / LibreOffice. Expanded from original (QC/ON/AB/BC + CO/MI/NY/WA) to ALL 13 Canadian provinces/territories and ALL 51 US states + DC. See cell D5 for valid jurisdiction codes.</t>
  </si>
  <si>
    <t>INPUTS</t>
  </si>
  <si>
    <t>Jurisdiction (province/state)</t>
  </si>
  <si>
    <t>NY</t>
  </si>
  <si>
    <t>AB AK AL AR AZ BC CA CO CT DC DE FL GA HI IA ID IL IN KS KY LA MA MB MD ME MI MN MO MS MT NB NC ND NE NH NJ NL NM NS NT NU NV NY OH OK ON OR PA PE QC RI SC SD SK TN TX UT VA VT WA WI WV WY YT  (type any valid code in B5)</t>
  </si>
  <si>
    <t>Dwelling vintage</t>
  </si>
  <si>
    <t>1960-1983</t>
  </si>
  <si>
    <t>pre-1960 / 1960-1983 / 1984-1999 / 2000+</t>
  </si>
  <si>
    <t>Dwelling type</t>
  </si>
  <si>
    <t>attached</t>
  </si>
  <si>
    <t>detached / attached / apartment</t>
  </si>
  <si>
    <t>Floor area (heated)</t>
  </si>
  <si>
    <t>number</t>
  </si>
  <si>
    <t>Area units</t>
  </si>
  <si>
    <t>ft2</t>
  </si>
  <si>
    <t>m2 or ft2</t>
  </si>
  <si>
    <t>Space heating system</t>
  </si>
  <si>
    <t>Electric heat pump</t>
  </si>
  <si>
    <t>...or Don't know (country-average mix)</t>
  </si>
  <si>
    <t>Water heating system</t>
  </si>
  <si>
    <t>Electric</t>
  </si>
  <si>
    <t>Air conditioning?</t>
  </si>
  <si>
    <t>Yes</t>
  </si>
  <si>
    <t>Yes / No</t>
  </si>
  <si>
    <t>Household size (people)</t>
  </si>
  <si>
    <t>1 / 2 / 3 / 4 / 5 / 6+</t>
  </si>
  <si>
    <t>Windows/insulation significantly upgraded?</t>
  </si>
  <si>
    <t>No</t>
  </si>
  <si>
    <t>Yes / No / Unsure (Yes = -15% heating &amp; cooling demand)</t>
  </si>
  <si>
    <t>INTERMEDIATE</t>
  </si>
  <si>
    <t>Floor area (m2)</t>
  </si>
  <si>
    <t>Vintage key</t>
  </si>
  <si>
    <t>Dwelling key</t>
  </si>
  <si>
    <t>Grid factor (kg CO2e/GJ, delivered, lifecycle)</t>
  </si>
  <si>
    <t>Envelope factor (type)</t>
  </si>
  <si>
    <t>Other-elec size factor</t>
  </si>
  <si>
    <t>Retrofit factor (windows/insulation)</t>
  </si>
  <si>
    <t>RESULTS (kg CO2e / year, lifecycle)</t>
  </si>
  <si>
    <t>End use</t>
  </si>
  <si>
    <t>kg CO2e/yr</t>
  </si>
  <si>
    <t>Energy (GJ/yr) and fuel</t>
  </si>
  <si>
    <t>Space heating</t>
  </si>
  <si>
    <t>Water heating</t>
  </si>
  <si>
    <t>Air conditioning</t>
  </si>
  <si>
    <t>Other electricity (appliances, lighting, plug)</t>
  </si>
  <si>
    <t>TOTAL (kg CO2e/yr)</t>
  </si>
  <si>
    <t>TOTAL (tonnes CO2e/yr)</t>
  </si>
  <si>
    <t>Intensity (kg CO2e/m2/yr)</t>
  </si>
  <si>
    <t>Intensity (kg CO2e/ft2/yr)</t>
  </si>
  <si>
    <t>key</t>
  </si>
  <si>
    <t>D_GJ_per_m2</t>
  </si>
  <si>
    <t>QC|pre-1960</t>
  </si>
  <si>
    <t>QC|1960-1983</t>
  </si>
  <si>
    <t>QC|1984-1999</t>
  </si>
  <si>
    <t>QC|2000+</t>
  </si>
  <si>
    <t>ON|pre-1960</t>
  </si>
  <si>
    <t>ON|1960-1983</t>
  </si>
  <si>
    <t>ON|1984-1999</t>
  </si>
  <si>
    <t>ON|2000+</t>
  </si>
  <si>
    <t>AB|pre-1960</t>
  </si>
  <si>
    <t>AB|1960-1983</t>
  </si>
  <si>
    <t>AB|1984-1999</t>
  </si>
  <si>
    <t>AB|2000+</t>
  </si>
  <si>
    <t>BC|pre-1960</t>
  </si>
  <si>
    <t>BC|1960-1983</t>
  </si>
  <si>
    <t>BC|1984-1999</t>
  </si>
  <si>
    <t>BC|2000+</t>
  </si>
  <si>
    <t>MB|pre-1960</t>
  </si>
  <si>
    <t>MB|1960-1983</t>
  </si>
  <si>
    <t>MB|1984-1999</t>
  </si>
  <si>
    <t>MB|2000+</t>
  </si>
  <si>
    <t>SK|pre-1960</t>
  </si>
  <si>
    <t>SK|1960-1983</t>
  </si>
  <si>
    <t>SK|1984-1999</t>
  </si>
  <si>
    <t>SK|2000+</t>
  </si>
  <si>
    <t>NS|pre-1960</t>
  </si>
  <si>
    <t>NS|1960-1983</t>
  </si>
  <si>
    <t>NS|1984-1999</t>
  </si>
  <si>
    <t>NS|2000+</t>
  </si>
  <si>
    <t>NB|pre-1960</t>
  </si>
  <si>
    <t>NB|1960-1983</t>
  </si>
  <si>
    <t>NB|1984-1999</t>
  </si>
  <si>
    <t>NB|2000+</t>
  </si>
  <si>
    <t>NL|pre-1960</t>
  </si>
  <si>
    <t>NL|1960-1983</t>
  </si>
  <si>
    <t>NL|1984-1999</t>
  </si>
  <si>
    <t>NL|2000+</t>
  </si>
  <si>
    <t>PE|pre-1960</t>
  </si>
  <si>
    <t>PE|1960-1983</t>
  </si>
  <si>
    <t>PE|1984-1999</t>
  </si>
  <si>
    <t>PE|2000+</t>
  </si>
  <si>
    <t>YT|pre-1960</t>
  </si>
  <si>
    <t>YT|1960-1983</t>
  </si>
  <si>
    <t>YT|1984-1999</t>
  </si>
  <si>
    <t>YT|2000+</t>
  </si>
  <si>
    <t>NT|pre-1960</t>
  </si>
  <si>
    <t>NT|1960-1983</t>
  </si>
  <si>
    <t>NT|1984-1999</t>
  </si>
  <si>
    <t>NT|2000+</t>
  </si>
  <si>
    <t>NU|pre-1960</t>
  </si>
  <si>
    <t>NU|1960-1983</t>
  </si>
  <si>
    <t>NU|1984-1999</t>
  </si>
  <si>
    <t>NU|2000+</t>
  </si>
  <si>
    <t>CO|pre-1960</t>
  </si>
  <si>
    <t>CO|1960-1983</t>
  </si>
  <si>
    <t>CO|1984-1999</t>
  </si>
  <si>
    <t>CO|2000+</t>
  </si>
  <si>
    <t>MI|pre-1960</t>
  </si>
  <si>
    <t>MI|1960-1983</t>
  </si>
  <si>
    <t>MI|1984-1999</t>
  </si>
  <si>
    <t>MI|2000+</t>
  </si>
  <si>
    <t>NY|pre-1960</t>
  </si>
  <si>
    <t>NY|1960-1983</t>
  </si>
  <si>
    <t>NY|1984-1999</t>
  </si>
  <si>
    <t>NY|2000+</t>
  </si>
  <si>
    <t>WA|pre-1960</t>
  </si>
  <si>
    <t>WA|1960-1983</t>
  </si>
  <si>
    <t>WA|1984-1999</t>
  </si>
  <si>
    <t>WA|2000+</t>
  </si>
  <si>
    <t>AL|pre-1960</t>
  </si>
  <si>
    <t>AL|1960-1983</t>
  </si>
  <si>
    <t>AL|1984-1999</t>
  </si>
  <si>
    <t>AL|2000+</t>
  </si>
  <si>
    <t>AK|pre-1960</t>
  </si>
  <si>
    <t>AK|1960-1983</t>
  </si>
  <si>
    <t>AK|1984-1999</t>
  </si>
  <si>
    <t>AK|2000+</t>
  </si>
  <si>
    <t>AZ|pre-1960</t>
  </si>
  <si>
    <t>AZ|1960-1983</t>
  </si>
  <si>
    <t>AZ|1984-1999</t>
  </si>
  <si>
    <t>AZ|2000+</t>
  </si>
  <si>
    <t>AR|pre-1960</t>
  </si>
  <si>
    <t>AR|1960-1983</t>
  </si>
  <si>
    <t>AR|1984-1999</t>
  </si>
  <si>
    <t>AR|2000+</t>
  </si>
  <si>
    <t>CA|pre-1960</t>
  </si>
  <si>
    <t>CA|1960-1983</t>
  </si>
  <si>
    <t>CA|1984-1999</t>
  </si>
  <si>
    <t>CA|2000+</t>
  </si>
  <si>
    <t>CT|pre-1960</t>
  </si>
  <si>
    <t>CT|1960-1983</t>
  </si>
  <si>
    <t>CT|1984-1999</t>
  </si>
  <si>
    <t>CT|2000+</t>
  </si>
  <si>
    <t>DE|pre-1960</t>
  </si>
  <si>
    <t>DE|1960-1983</t>
  </si>
  <si>
    <t>DE|1984-1999</t>
  </si>
  <si>
    <t>DE|2000+</t>
  </si>
  <si>
    <t>FL|pre-1960</t>
  </si>
  <si>
    <t>FL|1960-1983</t>
  </si>
  <si>
    <t>FL|1984-1999</t>
  </si>
  <si>
    <t>FL|2000+</t>
  </si>
  <si>
    <t>GA|pre-1960</t>
  </si>
  <si>
    <t>GA|1960-1983</t>
  </si>
  <si>
    <t>GA|1984-1999</t>
  </si>
  <si>
    <t>GA|2000+</t>
  </si>
  <si>
    <t>HI|pre-1960</t>
  </si>
  <si>
    <t>HI|1960-1983</t>
  </si>
  <si>
    <t>HI|1984-1999</t>
  </si>
  <si>
    <t>HI|2000+</t>
  </si>
  <si>
    <t>ID|pre-1960</t>
  </si>
  <si>
    <t>ID|1960-1983</t>
  </si>
  <si>
    <t>ID|1984-1999</t>
  </si>
  <si>
    <t>ID|2000+</t>
  </si>
  <si>
    <t>IL|pre-1960</t>
  </si>
  <si>
    <t>IL|1960-1983</t>
  </si>
  <si>
    <t>IL|1984-1999</t>
  </si>
  <si>
    <t>IL|2000+</t>
  </si>
  <si>
    <t>IN|pre-1960</t>
  </si>
  <si>
    <t>IN|1960-1983</t>
  </si>
  <si>
    <t>IN|1984-1999</t>
  </si>
  <si>
    <t>IN|2000+</t>
  </si>
  <si>
    <t>IA|pre-1960</t>
  </si>
  <si>
    <t>IA|1960-1983</t>
  </si>
  <si>
    <t>IA|1984-1999</t>
  </si>
  <si>
    <t>IA|2000+</t>
  </si>
  <si>
    <t>KS|pre-1960</t>
  </si>
  <si>
    <t>KS|1960-1983</t>
  </si>
  <si>
    <t>KS|1984-1999</t>
  </si>
  <si>
    <t>KS|2000+</t>
  </si>
  <si>
    <t>KY|pre-1960</t>
  </si>
  <si>
    <t>KY|1960-1983</t>
  </si>
  <si>
    <t>KY|1984-1999</t>
  </si>
  <si>
    <t>KY|2000+</t>
  </si>
  <si>
    <t>LA|pre-1960</t>
  </si>
  <si>
    <t>LA|1960-1983</t>
  </si>
  <si>
    <t>LA|1984-1999</t>
  </si>
  <si>
    <t>LA|2000+</t>
  </si>
  <si>
    <t>ME|pre-1960</t>
  </si>
  <si>
    <t>ME|1960-1983</t>
  </si>
  <si>
    <t>ME|1984-1999</t>
  </si>
  <si>
    <t>ME|2000+</t>
  </si>
  <si>
    <t>MD|pre-1960</t>
  </si>
  <si>
    <t>MD|1960-1983</t>
  </si>
  <si>
    <t>MD|1984-1999</t>
  </si>
  <si>
    <t>MD|2000+</t>
  </si>
  <si>
    <t>MA|pre-1960</t>
  </si>
  <si>
    <t>MA|1960-1983</t>
  </si>
  <si>
    <t>MA|1984-1999</t>
  </si>
  <si>
    <t>MA|2000+</t>
  </si>
  <si>
    <t>MN|pre-1960</t>
  </si>
  <si>
    <t>MN|1960-1983</t>
  </si>
  <si>
    <t>MN|1984-1999</t>
  </si>
  <si>
    <t>MN|2000+</t>
  </si>
  <si>
    <t>MS|pre-1960</t>
  </si>
  <si>
    <t>MS|1960-1983</t>
  </si>
  <si>
    <t>MS|1984-1999</t>
  </si>
  <si>
    <t>MS|2000+</t>
  </si>
  <si>
    <t>MO|pre-1960</t>
  </si>
  <si>
    <t>MO|1960-1983</t>
  </si>
  <si>
    <t>MO|1984-1999</t>
  </si>
  <si>
    <t>MO|2000+</t>
  </si>
  <si>
    <t>MT|pre-1960</t>
  </si>
  <si>
    <t>MT|1960-1983</t>
  </si>
  <si>
    <t>MT|1984-1999</t>
  </si>
  <si>
    <t>MT|2000+</t>
  </si>
  <si>
    <t>NE|pre-1960</t>
  </si>
  <si>
    <t>NE|1960-1983</t>
  </si>
  <si>
    <t>NE|1984-1999</t>
  </si>
  <si>
    <t>NE|2000+</t>
  </si>
  <si>
    <t>NV|pre-1960</t>
  </si>
  <si>
    <t>NV|1960-1983</t>
  </si>
  <si>
    <t>NV|1984-1999</t>
  </si>
  <si>
    <t>NV|2000+</t>
  </si>
  <si>
    <t>NH|pre-1960</t>
  </si>
  <si>
    <t>NH|1960-1983</t>
  </si>
  <si>
    <t>NH|1984-1999</t>
  </si>
  <si>
    <t>NH|2000+</t>
  </si>
  <si>
    <t>NJ|pre-1960</t>
  </si>
  <si>
    <t>NJ|1960-1983</t>
  </si>
  <si>
    <t>NJ|1984-1999</t>
  </si>
  <si>
    <t>NJ|2000+</t>
  </si>
  <si>
    <t>NM|pre-1960</t>
  </si>
  <si>
    <t>NM|1960-1983</t>
  </si>
  <si>
    <t>NM|1984-1999</t>
  </si>
  <si>
    <t>NM|2000+</t>
  </si>
  <si>
    <t>NC|pre-1960</t>
  </si>
  <si>
    <t>NC|1960-1983</t>
  </si>
  <si>
    <t>NC|1984-1999</t>
  </si>
  <si>
    <t>NC|2000+</t>
  </si>
  <si>
    <t>ND|pre-1960</t>
  </si>
  <si>
    <t>ND|1960-1983</t>
  </si>
  <si>
    <t>ND|1984-1999</t>
  </si>
  <si>
    <t>ND|2000+</t>
  </si>
  <si>
    <t>OH|pre-1960</t>
  </si>
  <si>
    <t>OH|1960-1983</t>
  </si>
  <si>
    <t>OH|1984-1999</t>
  </si>
  <si>
    <t>OH|2000+</t>
  </si>
  <si>
    <t>OK|pre-1960</t>
  </si>
  <si>
    <t>OK|1960-1983</t>
  </si>
  <si>
    <t>OK|1984-1999</t>
  </si>
  <si>
    <t>OK|2000+</t>
  </si>
  <si>
    <t>OR|pre-1960</t>
  </si>
  <si>
    <t>OR|1960-1983</t>
  </si>
  <si>
    <t>OR|1984-1999</t>
  </si>
  <si>
    <t>OR|2000+</t>
  </si>
  <si>
    <t>PA|pre-1960</t>
  </si>
  <si>
    <t>PA|1960-1983</t>
  </si>
  <si>
    <t>PA|1984-1999</t>
  </si>
  <si>
    <t>PA|2000+</t>
  </si>
  <si>
    <t>RI|pre-1960</t>
  </si>
  <si>
    <t>RI|1960-1983</t>
  </si>
  <si>
    <t>RI|1984-1999</t>
  </si>
  <si>
    <t>RI|2000+</t>
  </si>
  <si>
    <t>SC|pre-1960</t>
  </si>
  <si>
    <t>SC|1960-1983</t>
  </si>
  <si>
    <t>SC|1984-1999</t>
  </si>
  <si>
    <t>SC|2000+</t>
  </si>
  <si>
    <t>SD|pre-1960</t>
  </si>
  <si>
    <t>SD|1960-1983</t>
  </si>
  <si>
    <t>SD|1984-1999</t>
  </si>
  <si>
    <t>SD|2000+</t>
  </si>
  <si>
    <t>TN|pre-1960</t>
  </si>
  <si>
    <t>TN|1960-1983</t>
  </si>
  <si>
    <t>TN|1984-1999</t>
  </si>
  <si>
    <t>TN|2000+</t>
  </si>
  <si>
    <t>TX|pre-1960</t>
  </si>
  <si>
    <t>TX|1960-1983</t>
  </si>
  <si>
    <t>TX|1984-1999</t>
  </si>
  <si>
    <t>TX|2000+</t>
  </si>
  <si>
    <t>UT|pre-1960</t>
  </si>
  <si>
    <t>UT|1960-1983</t>
  </si>
  <si>
    <t>UT|1984-1999</t>
  </si>
  <si>
    <t>UT|2000+</t>
  </si>
  <si>
    <t>VT|pre-1960</t>
  </si>
  <si>
    <t>VT|1960-1983</t>
  </si>
  <si>
    <t>VT|1984-1999</t>
  </si>
  <si>
    <t>VT|2000+</t>
  </si>
  <si>
    <t>VA|pre-1960</t>
  </si>
  <si>
    <t>VA|1960-1983</t>
  </si>
  <si>
    <t>VA|1984-1999</t>
  </si>
  <si>
    <t>VA|2000+</t>
  </si>
  <si>
    <t>WV|pre-1960</t>
  </si>
  <si>
    <t>WV|1960-1983</t>
  </si>
  <si>
    <t>WV|1984-1999</t>
  </si>
  <si>
    <t>WV|2000+</t>
  </si>
  <si>
    <t>WI|pre-1960</t>
  </si>
  <si>
    <t>WI|1960-1983</t>
  </si>
  <si>
    <t>WI|1984-1999</t>
  </si>
  <si>
    <t>WI|2000+</t>
  </si>
  <si>
    <t>WY|pre-1960</t>
  </si>
  <si>
    <t>WY|1960-1983</t>
  </si>
  <si>
    <t>WY|1984-1999</t>
  </si>
  <si>
    <t>WY|2000+</t>
  </si>
  <si>
    <t>DC|pre-1960</t>
  </si>
  <si>
    <t>DC|1960-1983</t>
  </si>
  <si>
    <t>DC|1984-1999</t>
  </si>
  <si>
    <t>DC|2000+</t>
  </si>
  <si>
    <t>Space-heating useful heat demand D (GJ per m² per year). CA (QC/ON/AB/BC): NRCan CEUD Table 33 (2023); others estimated by HDD analogy. US: EIA RECS 2020 state×vintage, gas-consumed × 0.85 fleet AFUE; new states estimated by HDD interpolation (base 18°C).</t>
  </si>
  <si>
    <t>cool_GJ_per_m2</t>
  </si>
  <si>
    <t>Cooling electricity intensity (GJ per m² of heated area per year). CA (QC/ON/AB/BC): NRCan CEUD Table 4 (2018-2023 avg). US: RECS 2020 (CO/MI/NY/WA exact); others estimated by CDD^0.75 scaling from humid (NY) or dry (CO) reference, by vintage ratio.</t>
  </si>
  <si>
    <t>building_type</t>
  </si>
  <si>
    <t>envelope_factor</t>
  </si>
  <si>
    <t>detached</t>
  </si>
  <si>
    <t>apartment</t>
  </si>
  <si>
    <t>Applied to heating &amp; cooling (envelope/area effect). Source: NRCan CEUD Table 33 building-type ratios.</t>
  </si>
  <si>
    <t>heating_system</t>
  </si>
  <si>
    <t>fuel</t>
  </si>
  <si>
    <t>efficiency_or_COP</t>
  </si>
  <si>
    <t>Natural gas</t>
  </si>
  <si>
    <t>Heating oil / propane</t>
  </si>
  <si>
    <t>Oil/propane</t>
  </si>
  <si>
    <t>Electric baseboard</t>
  </si>
  <si>
    <t>Electricity</t>
  </si>
  <si>
    <t>Wood</t>
  </si>
  <si>
    <t>water_heater</t>
  </si>
  <si>
    <t>Heat-pump water heater</t>
  </si>
  <si>
    <t>useful_hotwater_GJ_per_hh</t>
  </si>
  <si>
    <t>QC|detached</t>
  </si>
  <si>
    <t>QC|attached</t>
  </si>
  <si>
    <t>QC|apartment</t>
  </si>
  <si>
    <t>ON|detached</t>
  </si>
  <si>
    <t>ON|attached</t>
  </si>
  <si>
    <t>ON|apartment</t>
  </si>
  <si>
    <t>AB|detached</t>
  </si>
  <si>
    <t>AB|attached</t>
  </si>
  <si>
    <t>AB|apartment</t>
  </si>
  <si>
    <t>BC|detached</t>
  </si>
  <si>
    <t>BC|attached</t>
  </si>
  <si>
    <t>BC|apartment</t>
  </si>
  <si>
    <t>MB|detached</t>
  </si>
  <si>
    <t>MB|attached</t>
  </si>
  <si>
    <t>MB|apartment</t>
  </si>
  <si>
    <t>SK|detached</t>
  </si>
  <si>
    <t>SK|attached</t>
  </si>
  <si>
    <t>SK|apartment</t>
  </si>
  <si>
    <t>NS|detached</t>
  </si>
  <si>
    <t>NS|attached</t>
  </si>
  <si>
    <t>NS|apartment</t>
  </si>
  <si>
    <t>NB|detached</t>
  </si>
  <si>
    <t>NB|attached</t>
  </si>
  <si>
    <t>NB|apartment</t>
  </si>
  <si>
    <t>NL|detached</t>
  </si>
  <si>
    <t>NL|attached</t>
  </si>
  <si>
    <t>NL|apartment</t>
  </si>
  <si>
    <t>PE|detached</t>
  </si>
  <si>
    <t>PE|attached</t>
  </si>
  <si>
    <t>PE|apartment</t>
  </si>
  <si>
    <t>YT|detached</t>
  </si>
  <si>
    <t>YT|attached</t>
  </si>
  <si>
    <t>YT|apartment</t>
  </si>
  <si>
    <t>NT|detached</t>
  </si>
  <si>
    <t>NT|attached</t>
  </si>
  <si>
    <t>NT|apartment</t>
  </si>
  <si>
    <t>NU|detached</t>
  </si>
  <si>
    <t>NU|attached</t>
  </si>
  <si>
    <t>NU|apartment</t>
  </si>
  <si>
    <t>CO|detached</t>
  </si>
  <si>
    <t>CO|attached</t>
  </si>
  <si>
    <t>CO|apartment</t>
  </si>
  <si>
    <t>MI|detached</t>
  </si>
  <si>
    <t>MI|attached</t>
  </si>
  <si>
    <t>MI|apartment</t>
  </si>
  <si>
    <t>NY|detached</t>
  </si>
  <si>
    <t>NY|attached</t>
  </si>
  <si>
    <t>NY|apartment</t>
  </si>
  <si>
    <t>WA|detached</t>
  </si>
  <si>
    <t>WA|attached</t>
  </si>
  <si>
    <t>WA|apartment</t>
  </si>
  <si>
    <t>AL|detached</t>
  </si>
  <si>
    <t>AL|attached</t>
  </si>
  <si>
    <t>AL|apartment</t>
  </si>
  <si>
    <t>AK|detached</t>
  </si>
  <si>
    <t>AK|attached</t>
  </si>
  <si>
    <t>AK|apartment</t>
  </si>
  <si>
    <t>AZ|detached</t>
  </si>
  <si>
    <t>AZ|attached</t>
  </si>
  <si>
    <t>AZ|apartment</t>
  </si>
  <si>
    <t>AR|detached</t>
  </si>
  <si>
    <t>AR|attached</t>
  </si>
  <si>
    <t>AR|apartment</t>
  </si>
  <si>
    <t>CA|detached</t>
  </si>
  <si>
    <t>CA|attached</t>
  </si>
  <si>
    <t>CA|apartment</t>
  </si>
  <si>
    <t>CT|detached</t>
  </si>
  <si>
    <t>CT|attached</t>
  </si>
  <si>
    <t>CT|apartment</t>
  </si>
  <si>
    <t>DE|detached</t>
  </si>
  <si>
    <t>DE|attached</t>
  </si>
  <si>
    <t>DE|apartment</t>
  </si>
  <si>
    <t>FL|detached</t>
  </si>
  <si>
    <t>FL|attached</t>
  </si>
  <si>
    <t>FL|apartment</t>
  </si>
  <si>
    <t>GA|detached</t>
  </si>
  <si>
    <t>GA|attached</t>
  </si>
  <si>
    <t>GA|apartment</t>
  </si>
  <si>
    <t>HI|detached</t>
  </si>
  <si>
    <t>HI|attached</t>
  </si>
  <si>
    <t>HI|apartment</t>
  </si>
  <si>
    <t>ID|detached</t>
  </si>
  <si>
    <t>ID|attached</t>
  </si>
  <si>
    <t>ID|apartment</t>
  </si>
  <si>
    <t>IL|detached</t>
  </si>
  <si>
    <t>IL|attached</t>
  </si>
  <si>
    <t>IL|apartment</t>
  </si>
  <si>
    <t>IN|detached</t>
  </si>
  <si>
    <t>IN|attached</t>
  </si>
  <si>
    <t>IN|apartment</t>
  </si>
  <si>
    <t>IA|detached</t>
  </si>
  <si>
    <t>IA|attached</t>
  </si>
  <si>
    <t>IA|apartment</t>
  </si>
  <si>
    <t>KS|detached</t>
  </si>
  <si>
    <t>KS|attached</t>
  </si>
  <si>
    <t>KS|apartment</t>
  </si>
  <si>
    <t>KY|detached</t>
  </si>
  <si>
    <t>KY|attached</t>
  </si>
  <si>
    <t>KY|apartment</t>
  </si>
  <si>
    <t>LA|detached</t>
  </si>
  <si>
    <t>LA|attached</t>
  </si>
  <si>
    <t>LA|apartment</t>
  </si>
  <si>
    <t>ME|detached</t>
  </si>
  <si>
    <t>ME|attached</t>
  </si>
  <si>
    <t>ME|apartment</t>
  </si>
  <si>
    <t>MD|detached</t>
  </si>
  <si>
    <t>MD|attached</t>
  </si>
  <si>
    <t>MD|apartment</t>
  </si>
  <si>
    <t>MA|detached</t>
  </si>
  <si>
    <t>MA|attached</t>
  </si>
  <si>
    <t>MA|apartment</t>
  </si>
  <si>
    <t>MN|detached</t>
  </si>
  <si>
    <t>MN|attached</t>
  </si>
  <si>
    <t>MN|apartment</t>
  </si>
  <si>
    <t>MS|detached</t>
  </si>
  <si>
    <t>MS|attached</t>
  </si>
  <si>
    <t>MS|apartment</t>
  </si>
  <si>
    <t>MO|detached</t>
  </si>
  <si>
    <t>MO|attached</t>
  </si>
  <si>
    <t>MO|apartment</t>
  </si>
  <si>
    <t>MT|detached</t>
  </si>
  <si>
    <t>MT|attached</t>
  </si>
  <si>
    <t>MT|apartment</t>
  </si>
  <si>
    <t>NE|detached</t>
  </si>
  <si>
    <t>NE|attached</t>
  </si>
  <si>
    <t>NE|apartment</t>
  </si>
  <si>
    <t>NV|detached</t>
  </si>
  <si>
    <t>NV|attached</t>
  </si>
  <si>
    <t>NV|apartment</t>
  </si>
  <si>
    <t>NH|detached</t>
  </si>
  <si>
    <t>NH|attached</t>
  </si>
  <si>
    <t>NH|apartment</t>
  </si>
  <si>
    <t>NJ|detached</t>
  </si>
  <si>
    <t>NJ|attached</t>
  </si>
  <si>
    <t>NJ|apartment</t>
  </si>
  <si>
    <t>NM|detached</t>
  </si>
  <si>
    <t>NM|attached</t>
  </si>
  <si>
    <t>NM|apartment</t>
  </si>
  <si>
    <t>NC|detached</t>
  </si>
  <si>
    <t>NC|attached</t>
  </si>
  <si>
    <t>NC|apartment</t>
  </si>
  <si>
    <t>ND|detached</t>
  </si>
  <si>
    <t>ND|attached</t>
  </si>
  <si>
    <t>ND|apartment</t>
  </si>
  <si>
    <t>OH|detached</t>
  </si>
  <si>
    <t>OH|attached</t>
  </si>
  <si>
    <t>OH|apartment</t>
  </si>
  <si>
    <t>OK|detached</t>
  </si>
  <si>
    <t>OK|attached</t>
  </si>
  <si>
    <t>OK|apartment</t>
  </si>
  <si>
    <t>OR|detached</t>
  </si>
  <si>
    <t>OR|attached</t>
  </si>
  <si>
    <t>OR|apartment</t>
  </si>
  <si>
    <t>PA|detached</t>
  </si>
  <si>
    <t>PA|attached</t>
  </si>
  <si>
    <t>PA|apartment</t>
  </si>
  <si>
    <t>RI|detached</t>
  </si>
  <si>
    <t>RI|attached</t>
  </si>
  <si>
    <t>RI|apartment</t>
  </si>
  <si>
    <t>SC|detached</t>
  </si>
  <si>
    <t>SC|attached</t>
  </si>
  <si>
    <t>SC|apartment</t>
  </si>
  <si>
    <t>SD|detached</t>
  </si>
  <si>
    <t>SD|attached</t>
  </si>
  <si>
    <t>SD|apartment</t>
  </si>
  <si>
    <t>TN|detached</t>
  </si>
  <si>
    <t>TN|attached</t>
  </si>
  <si>
    <t>TN|apartment</t>
  </si>
  <si>
    <t>TX|detached</t>
  </si>
  <si>
    <t>TX|attached</t>
  </si>
  <si>
    <t>TX|apartment</t>
  </si>
  <si>
    <t>UT|detached</t>
  </si>
  <si>
    <t>UT|attached</t>
  </si>
  <si>
    <t>UT|apartment</t>
  </si>
  <si>
    <t>VT|detached</t>
  </si>
  <si>
    <t>VT|attached</t>
  </si>
  <si>
    <t>VT|apartment</t>
  </si>
  <si>
    <t>VA|detached</t>
  </si>
  <si>
    <t>VA|attached</t>
  </si>
  <si>
    <t>VA|apartment</t>
  </si>
  <si>
    <t>WV|detached</t>
  </si>
  <si>
    <t>WV|attached</t>
  </si>
  <si>
    <t>WV|apartment</t>
  </si>
  <si>
    <t>WI|detached</t>
  </si>
  <si>
    <t>WI|attached</t>
  </si>
  <si>
    <t>WI|apartment</t>
  </si>
  <si>
    <t>WY|detached</t>
  </si>
  <si>
    <t>WY|attached</t>
  </si>
  <si>
    <t>WY|apartment</t>
  </si>
  <si>
    <t>DC|detached</t>
  </si>
  <si>
    <t>DC|attached</t>
  </si>
  <si>
    <t>DC|apartment</t>
  </si>
  <si>
    <t>Useful hot-water demand (GJ per household per year) by dwelling type. CA (QC/ON/AB/BC): NRCan CEUD Table 2 (2023). US: RECS 2020 (CO/MI/NY/WA exact); others scaled from RECS 2020 regional means by dwelling-type factors (detached 1.10, attached 1.00, apartment 0.75).</t>
  </si>
  <si>
    <t>jurisdiction</t>
  </si>
  <si>
    <t>other_elec_base_GJ_per_hh</t>
  </si>
  <si>
    <t>QC</t>
  </si>
  <si>
    <t>ON</t>
  </si>
  <si>
    <t>AB</t>
  </si>
  <si>
    <t>BC</t>
  </si>
  <si>
    <t>MB</t>
  </si>
  <si>
    <t>SK</t>
  </si>
  <si>
    <t>NS</t>
  </si>
  <si>
    <t>NB</t>
  </si>
  <si>
    <t>NL</t>
  </si>
  <si>
    <t>PE</t>
  </si>
  <si>
    <t>YT</t>
  </si>
  <si>
    <t>NT</t>
  </si>
  <si>
    <t>NU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</si>
  <si>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</si>
  <si>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</si>
  <si>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</si>
  <si>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</si>
  <si>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</si>
  <si>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</si>
  <si>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</si>
  <si>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</si>
  <si>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</si>
  <si>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</si>
  <si>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</si>
  <si>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</si>
  <si>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</si>
  <si>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</si>
  <si>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</si>
  <si>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</si>
  <si>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</si>
  <si>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</si>
  <si>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</si>
  <si>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</si>
  <si>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</si>
  <si>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</si>
  <si>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</si>
  <si>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</si>
  <si>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</si>
  <si>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</si>
  <si>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</si>
  <si>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</si>
  <si>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</si>
  <si>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</si>
  <si>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</si>
  <si>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</si>
  <si>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</si>
  <si>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</si>
  <si>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</si>
  <si>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</si>
  <si>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</si>
  <si>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</si>
  <si>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</si>
  <si>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</si>
  <si>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</si>
  <si>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</si>
  <si>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</si>
  <si>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</si>
  <si>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</si>
  <si>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</si>
  <si>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</si>
  <si>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</si>
  <si>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</si>
  <si>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DC</t>
  </si>
  <si>
    <t>Appliances/lighting/plug-load baseline (GJ per average household). CA (QC/ON/AB/BC): NRCan CEUD Table 2 (2023). US: RECS 2020 non-HVAC electricity (CO/MI/NY/WA exact); others from RECS 2020 state microdata or regional estimate.</t>
  </si>
  <si>
    <t>household_size</t>
  </si>
  <si>
    <t>other_elec_factor</t>
  </si>
  <si>
    <t>water_factor_ref</t>
  </si>
  <si>
    <t>1</t>
  </si>
  <si>
    <t>2</t>
  </si>
  <si>
    <t>3</t>
  </si>
  <si>
    <t>4</t>
  </si>
  <si>
    <t>5</t>
  </si>
  <si>
    <t>6+</t>
  </si>
  <si>
    <t>Household-size load factors (normalized to mean=1), RECS 2020 (CO/MI/NY/WA pooled). other_elec_factor used; water_factor_ref optional.</t>
  </si>
  <si>
    <t>combustion_kgCO2e_GJ</t>
  </si>
  <si>
    <t>upstream_kgCO2e_GJ</t>
  </si>
  <si>
    <t>lifecycle_kgCO2e_GJ</t>
  </si>
  <si>
    <t>Combustion: EPA GHG Emission Factors Hub 2025 (CO2e, HHV; Oil/propane = mean of distillate 70.3 &amp; propane 59.8). Upstream/well-to-tank: DOE BTO Best Practices Jan 2025 Table 2 / RESNET 301-2022 Add.B (NG +12.98; oil +13.89 &amp; propane +15.54 -&gt; mean +14.7). Wood biogenic-neutral; upstream excluded. lifecycle = combustion + upstream (USED in calc).</t>
  </si>
  <si>
    <t>gCO2e_per_kWh</t>
  </si>
  <si>
    <t>grid_gross_loss</t>
  </si>
  <si>
    <t>combustion_kgCO2e_GJ_delivered</t>
  </si>
  <si>
    <t>lifecycle_kgCO2e_GJ_delivered</t>
  </si>
  <si>
    <t>Combustion (D): CA = ECCC Emission Factors 2024, Table 5.2 consumption intensity (delivered basis, grid_loss=0); US = eGRID2023 state output rates grossed up for grid gross loss (subregion-level; CO/MI/NY/WA original, others eGRID2023 Rev 2). Upstream (E): Σ(generation share × heat rate × GREET/RESNET upstream factor) per delivered kWh (CER 2023 provincial mix; eGRID2023 state mix for US). lifecycle = combustion + upstream (USED in calc).</t>
  </si>
  <si>
    <t>P_Vehicle — Vehicle Lifecycle Emission Factors  (kg CO₂e / km driven)</t>
  </si>
  <si>
    <t>Jurisdiction</t>
  </si>
  <si>
    <t>Grid Lifecycle
(kgCO₂e/GJ)</t>
  </si>
  <si>
    <t>Gas
Truck</t>
  </si>
  <si>
    <t>Gas
Car</t>
  </si>
  <si>
    <t>Diesel
Truck</t>
  </si>
  <si>
    <t>Diesel
Car</t>
  </si>
  <si>
    <t>HEV
Truck</t>
  </si>
  <si>
    <t>HEV
Car</t>
  </si>
  <si>
    <t>PHEV*
Truck</t>
  </si>
  <si>
    <t>PHEV*
Car</t>
  </si>
  <si>
    <t>EV*
Truck</t>
  </si>
  <si>
    <t>EV*
Car</t>
  </si>
  <si>
    <t>Value Source</t>
  </si>
  <si>
    <t>Notes</t>
  </si>
  <si>
    <t>-&gt; fuel type:</t>
  </si>
  <si>
    <t>Gasoline</t>
  </si>
  <si>
    <t>Diesel</t>
  </si>
  <si>
    <t>HEV (non-plug)</t>
  </si>
  <si>
    <t>PHEV* (grid-dep)</t>
  </si>
  <si>
    <t>BEV* (grid-dep)</t>
  </si>
  <si>
    <t>CANADA -- provinces and territories</t>
  </si>
  <si>
    <t>Exact — Table 17 (original AFLEET study)</t>
  </si>
  <si>
    <t>Table 16 blend: 100% VT-surrogate</t>
  </si>
  <si>
    <t>Table 16 blend: 100% CO (ceiling)</t>
  </si>
  <si>
    <t>Table 16 blend: 36.8%WA+63.2%NY</t>
  </si>
  <si>
    <t>Table 16 blend: 99.4%VT(VT)+0.6%WA</t>
  </si>
  <si>
    <t>Table 16 blend: 76.2%NY+23.8%MI</t>
  </si>
  <si>
    <t>Table 16 blend: 76.9%VT(VT)+23.1%WA</t>
  </si>
  <si>
    <t>Table 16 blend: 37.3%NY+62.7%MI</t>
  </si>
  <si>
    <t>UNITED STATES -- all 50 states + DC</t>
  </si>
  <si>
    <t>AFLEET_2024 — SERC region (elecSrc 8)</t>
  </si>
  <si>
    <t>AFLEET_2024 — ASCC region (elecSrc 2)</t>
  </si>
  <si>
    <t>AFLEET_2024 — WECC region (elecSrc 11)</t>
  </si>
  <si>
    <t>AFLEET_2024 — NPCC region (elecSrc 6)</t>
  </si>
  <si>
    <t>AFLEET_2024 — RFC region (elecSrc 7)</t>
  </si>
  <si>
    <t>AFLEET_2024 — FRCC region (elecSrc 3)</t>
  </si>
  <si>
    <t>AFLEET_2024 — HICC region (elecSrc 4)</t>
  </si>
  <si>
    <t>AFLEET_2024 — MRO region (elecSrc 5)</t>
  </si>
  <si>
    <t>AFLEET_2024 — SPP region (elecSrc 9)</t>
  </si>
  <si>
    <t>AFLEET_2024 — TRE region (elecSrc 10)</t>
  </si>
  <si>
    <t>UNITS: kg CO2e / km driven, lifecycle (well-to-wheels + vehicle manufacturing).</t>
  </si>
  <si>
    <t>Gasoline / Diesel / HEV are grid-independent -- same for all jurisdictions.</t>
  </si>
  <si>
    <t>* PHEV and BEV values depend on local electricity grid mix.</t>
  </si>
  <si>
    <t>Color legend:</t>
  </si>
  <si>
    <t xml:space="preserve">  GREEN  = Exact Table 17 values from original study (8 jurisdictions: CO,MI,NY,WA,BC,AB,ON,QC).</t>
  </si>
  <si>
    <t xml:space="preserve">  BLUE   = AFLEET Online 2024 API values. Each US state maps to one of 10 NERC/eGRID regions.</t>
  </si>
  <si>
    <t xml:space="preserve">           Unit conv: AFLEET metric tonnes CO2/yr / 21.97 = kg CO2e/km (Gasoline calibration).</t>
  </si>
  <si>
    <t xml:space="preserve">           NERC map: ASCC=AK | FRCC=FL | HICC=HI | MRO=IA,MN,ND,NE,SD,WI</t>
  </si>
  <si>
    <t xml:space="preserve">                     NPCC=CT,ME,MA,NH,NY,RI,VT | RFC=DE,DC,IL,IN,MD,MI,NJ,OH,PA,VA,WV</t>
  </si>
  <si>
    <t xml:space="preserve">                     SERC=AL,AR,GA,KY,MO,MS,NC,SC,TN | SPP=KS,LA,OK | TRE=TX</t>
  </si>
  <si>
    <t xml:space="preserve">                     WECC=AZ,CA,CO,ID,MT,NM,NV,OR,UT,WA,WY</t>
  </si>
  <si>
    <t xml:space="preserve">  YELLOW = Table 16 convex-combination (Canadian provinces -- AFLEET does not cover Canada).</t>
  </si>
  <si>
    <t>gas_furnace_efficiency</t>
  </si>
  <si>
    <t>CA (QC/ON/AB/BC): NRCan CEUD Table 21 stock split × Table 26 tier efficiencies (Medium 80%, High 90%); others use national CA average 0.87-0.88. US: ~0.85 national fleet AFUE (DOE/AHRI condensing share ~40-45%).</t>
  </si>
  <si>
    <t>heatpump_seasonal_COP</t>
  </si>
  <si>
    <t>CA: 1.9 (NRCan CEUD Table 26 national stock COP; conservative – includes electric-resistance backup on coldest days). US: 2.0 (federal-minimum HSPF era stock, NREL ResStock derated to real-world; consistent across all US states as state-specific stock data not available).</t>
  </si>
  <si>
    <t>country</t>
  </si>
  <si>
    <t>w_gas</t>
  </si>
  <si>
    <t>w_oilprop</t>
  </si>
  <si>
    <t>w_baseboard</t>
  </si>
  <si>
    <t>w_heatpump</t>
  </si>
  <si>
    <t>w_wood</t>
  </si>
  <si>
    <t>grid_kg_GJ_lifecycle</t>
  </si>
  <si>
    <t>gas_eff</t>
  </si>
  <si>
    <t>hp_cop</t>
  </si>
  <si>
    <t>DK_EFperEff</t>
  </si>
  <si>
    <t>DK_energy_per_demand</t>
  </si>
  <si>
    <t>US</t>
  </si>
  <si>
    <t>Used when space-heating = "Don't know". Lifecycle factors. CA weights: NRCan Tables 27 &amp; 34 (2023). US weights: RECS 2020.</t>
  </si>
  <si>
    <t>w_electric</t>
  </si>
  <si>
    <t>w_hpwh</t>
  </si>
  <si>
    <t>DK_energy_per_U</t>
  </si>
  <si>
    <t>Used when water-heating = "Don't know". Lifecycle factors. CA weights: NRCan Table 34 (2023). US weights: RECS 2020. HPWH ~0 (folded into electric).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</si>
</sst>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>
    <font>
      <sz val="11"/>
      <color theme="1"/>
      <name val="Calibri"/>
      <family val="2"/>
      <scheme val="minor"/>
    </font>
    <font>
      <b/>
      <sz val="14"/>
      <color rgb="FF1F4E66"/>
      <name val="Arial"/>
      <charset val="1"/>
    </font>
    <font>
      <i/>
      <sz val="9"/>
      <color rgb="FF555555"/>
      <name val="Arial"/>
      <charset val="1"/>
    </font>
    <font>
      <b/>
      <sz val="11"/>
      <color rgb="FF1F4E66"/>
      <name val="Arial"/>
      <charset val="1"/>
    </font>
    <font>
      <b/>
      <sz val="11"/>
      <name val="Arial"/>
      <charset val="1"/>
    </font>
    <font>
      <b/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b/>
      <sz val="11"/>
      <name val="Calibri"/>
    </font>
    <font>
      <b/>
      <sz val="11"/>
      <color rgb="FFFFFFFF"/>
      <name val="Calibri"/>
    </font>
    <font>
      <b/>
      <sz val="10"/>
      <color rgb="FFFFFFFF"/>
      <name val="Calibri"/>
    </font>
    <font>
      <i/>
      <sz val="9"/>
      <name val="Calibri"/>
    </font>
    <font>
      <i/>
      <sz val="8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DDEBF7"/>
        <bgColor rgb="FFE2EFDA"/>
      </patternFill>
    </fill>
    <fill>
      <patternFill patternType="solid">
        <fgColor rgb="FF1F4E66"/>
        <bgColor rgb="FF333399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AEEF3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horizontal="center"/>
    </xf>
    <xf numFmtId="1" fontId="6" fillId="0" borderId="0" xfId="0" applyNumberFormat="1" applyFont="1"/>
    <xf numFmtId="0" fontId="6" fillId="0" borderId="0" xfId="0" applyFont="1"/>
    <xf numFmtId="164" fontId="6" fillId="0" borderId="0" xfId="0" applyNumberFormat="1" applyFont="1"/>
    <xf numFmtId="2" fontId="6" fillId="0" borderId="0" xfId="0" applyNumberFormat="1" applyFont="1"/>
    <xf numFmtId="0" fontId="7" fillId="3" borderId="1" xfId="0" applyFont="1" applyFill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/>
    <xf numFmtId="0" fontId="4" fillId="4" borderId="1" xfId="0" applyFont="1" applyFill="1" applyBorder="1"/>
    <xf numFmtId="164" fontId="4" fillId="4" borderId="1" xfId="0" applyNumberFormat="1" applyFont="1" applyFill="1" applyBorder="1"/>
    <xf numFmtId="0" fontId="4" fillId="0" borderId="1" xfId="0" applyFont="1" applyBorder="1"/>
    <xf numFmtId="2" fontId="6" fillId="0" borderId="1" xfId="0" applyNumberFormat="1" applyFont="1" applyBorder="1"/>
    <xf numFmtId="0" fontId="4" fillId="5" borderId="1" xfId="0" applyFont="1" applyFill="1" applyBorder="1"/>
    <xf numFmtId="164" fontId="6" fillId="5" borderId="1" xfId="0" applyNumberFormat="1" applyFont="1" applyFill="1" applyBorder="1"/>
    <xf numFmtId="0" fontId="8" fillId="0" borderId="0" xfId="0" applyFont="1"/>
    <xf numFmtId="0" fontId="10" fillId="7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165" fontId="0" fillId="9" borderId="2" xfId="0" applyNumberFormat="1" applyFill="1" applyBorder="1" applyAlignment="1">
      <alignment horizontal="center" vertical="center"/>
    </xf>
    <xf numFmtId="165" fontId="0" fillId="10" borderId="2" xfId="0" applyNumberFormat="1" applyFill="1" applyBorder="1" applyAlignment="1">
      <alignment horizontal="center" vertical="center"/>
    </xf>
    <xf numFmtId="165" fontId="0" fillId="11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2" fillId="0" borderId="0" xfId="0" applyFont="1" applyAlignment="1"/>
    <xf numFmtId="0" fontId="0" fillId="0" borderId="0" xfId="0" applyAlignment="1"/>
    <xf numFmtId="0" fontId="0" fillId="0" borderId="2" xfId="0" applyBorder="1" applyAlignment="1">
      <alignment horizontal="center" vertical="center"/>
    </xf>
    <xf numFmtId="0" fontId="0" fillId="0" borderId="2" xfId="0" applyBorder="1" applyAlignment="1"/>
    <xf numFmtId="0" fontId="9" fillId="6" borderId="2" xfId="0" applyFont="1" applyFill="1" applyBorder="1" applyAlignment="1">
      <alignment horizontal="center" vertical="center"/>
    </xf>
    <xf numFmtId="0" fontId="11" fillId="0" borderId="2" xfId="0" applyFont="1" applyBorder="1" applyAlignment="1"/>
    <xf numFmtId="0" fontId="10" fillId="6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opLeftCell="B1" workbookViewId="0">
      <selection activeCell="B5" sqref="B5"/>
    </sheetView>
  </sheetViews>
  <sheetFormatPr defaultRowHeight="15"/>
  <cols>
    <col min="1" max="1" width="44.140625" customWidth="1"/>
    <col min="2" max="2" width="20" customWidth="1"/>
    <col min="3" max="3" width="2.85546875" customWidth="1"/>
    <col min="4" max="4" width="50.5703125" customWidth="1"/>
    <col min="5" max="5" width="13" customWidth="1"/>
    <col min="7" max="7" width="23.28515625" customWidth="1"/>
    <col min="8" max="8" width="33.5703125" customWidth="1"/>
    <col min="9" max="9" width="27.140625" customWidth="1"/>
  </cols>
  <sheetData>
    <row r="1" spans="1:4">
      <c r="A1" s="1" t="s">
        <v>0</v>
      </c>
    </row>
    <row r="2" spans="1:4">
      <c r="A2" s="2" t="s">
        <v>1</v>
      </c>
    </row>
    <row r="4" spans="1:4">
      <c r="A4" s="3" t="s">
        <v>2</v>
      </c>
    </row>
    <row r="5" spans="1:4">
      <c r="A5" s="4" t="s">
        <v>3</v>
      </c>
      <c r="B5" s="5" t="s">
        <v>4</v>
      </c>
      <c r="D5" s="2" t="s">
        <v>5</v>
      </c>
    </row>
    <row r="6" spans="1:4">
      <c r="A6" s="4" t="s">
        <v>6</v>
      </c>
      <c r="B6" s="5" t="s">
        <v>7</v>
      </c>
      <c r="D6" s="2" t="s">
        <v>8</v>
      </c>
    </row>
    <row r="7" spans="1:4">
      <c r="A7" s="4" t="s">
        <v>9</v>
      </c>
      <c r="B7" s="5" t="s">
        <v>10</v>
      </c>
      <c r="D7" s="2" t="s">
        <v>11</v>
      </c>
    </row>
    <row r="8" spans="1:4">
      <c r="A8" s="4" t="s">
        <v>12</v>
      </c>
      <c r="B8" s="5">
        <v>1600</v>
      </c>
      <c r="D8" s="2" t="s">
        <v>13</v>
      </c>
    </row>
    <row r="9" spans="1:4">
      <c r="A9" s="4" t="s">
        <v>14</v>
      </c>
      <c r="B9" s="5" t="s">
        <v>15</v>
      </c>
      <c r="D9" s="2" t="s">
        <v>16</v>
      </c>
    </row>
    <row r="10" spans="1:4">
      <c r="A10" s="4" t="s">
        <v>17</v>
      </c>
      <c r="B10" s="5" t="s">
        <v>18</v>
      </c>
      <c r="D10" s="2" t="s">
        <v>19</v>
      </c>
    </row>
    <row r="11" spans="1:4">
      <c r="A11" s="4" t="s">
        <v>20</v>
      </c>
      <c r="B11" s="5" t="s">
        <v>21</v>
      </c>
      <c r="D11" s="2" t="s">
        <v>19</v>
      </c>
    </row>
    <row r="12" spans="1:4">
      <c r="A12" s="4" t="s">
        <v>22</v>
      </c>
      <c r="B12" s="5" t="s">
        <v>23</v>
      </c>
      <c r="D12" s="2" t="s">
        <v>24</v>
      </c>
    </row>
    <row r="13" spans="1:4">
      <c r="A13" s="4" t="s">
        <v>25</v>
      </c>
      <c r="B13" s="5">
        <v>3</v>
      </c>
      <c r="D13" s="2" t="s">
        <v>26</v>
      </c>
    </row>
    <row r="14" spans="1:4">
      <c r="A14" s="4" t="s">
        <v>27</v>
      </c>
      <c r="B14" s="5" t="s">
        <v>28</v>
      </c>
      <c r="D14" s="2" t="s">
        <v>29</v>
      </c>
    </row>
    <row r="15" spans="1:4">
      <c r="A15" s="3" t="s">
        <v>30</v>
      </c>
    </row>
    <row r="16" spans="1:4">
      <c r="A16" s="4" t="s">
        <v>31</v>
      </c>
      <c r="B16" s="6">
        <f>IF($B$9="ft2",$B$8*0.092903,$B$8)</f>
        <v>148.6448</v>
      </c>
    </row>
    <row r="17" spans="1:9">
      <c r="A17" s="4" t="s">
        <v>32</v>
      </c>
      <c r="B17" s="7" t="str">
        <f>$B$5&amp;"|"&amp;$B$6</f>
        <v>NY|1960-1983</v>
      </c>
    </row>
    <row r="18" spans="1:9">
      <c r="A18" s="4" t="s">
        <v>33</v>
      </c>
      <c r="B18" s="7" t="str">
        <f>$B$5&amp;"|"&amp;$B$7</f>
        <v>NY|attached</v>
      </c>
    </row>
    <row r="19" spans="1:9">
      <c r="A19" s="4" t="s">
        <v>34</v>
      </c>
      <c r="B19" s="8">
        <f>INDEX(P_EF_Elec!$F:$F,MATCH($B$5,P_EF_Elec!$A:$A,0))</f>
        <v>73.561100208768281</v>
      </c>
    </row>
    <row r="20" spans="1:9">
      <c r="A20" s="4" t="s">
        <v>35</v>
      </c>
      <c r="B20" s="9">
        <f>INDEX(P_BuildingType!$B:$B,MATCH($B$7,P_BuildingType!$A:$A,0))</f>
        <v>0.85</v>
      </c>
    </row>
    <row r="21" spans="1:9">
      <c r="A21" s="4" t="s">
        <v>36</v>
      </c>
      <c r="B21" s="9">
        <f>INDEX(P_Size!$B:$B,MATCH($B$13&amp;"",P_Size!$A:$A,0))</f>
        <v>1.17</v>
      </c>
    </row>
    <row r="22" spans="1:9">
      <c r="A22" s="4" t="s">
        <v>37</v>
      </c>
      <c r="B22" s="9">
        <f>IF($B$14="Yes",0.85,1)</f>
        <v>1</v>
      </c>
    </row>
    <row r="23" spans="1:9">
      <c r="A23" s="3" t="s">
        <v>38</v>
      </c>
    </row>
    <row r="24" spans="1:9">
      <c r="A24" s="10" t="s">
        <v>39</v>
      </c>
      <c r="B24" s="10" t="s">
        <v>40</v>
      </c>
      <c r="C24" s="10"/>
      <c r="D24" s="10" t="s">
        <v>41</v>
      </c>
    </row>
    <row r="25" spans="1:9">
      <c r="A25" s="11" t="s">
        <v>42</v>
      </c>
      <c r="B25" s="12">
        <f>IF($B$10="Don't know",$I$25*INDEX(P_DKHeat!$K:$K,MATCH($B$5,P_DKHeat!$A:$A,0)),$G$25*$H$25)</f>
        <v>1487.0886038504755</v>
      </c>
      <c r="D25" s="2" t="str">
        <f>TEXT($G$25,"0.0")&amp;" GJ "&amp;$F$25</f>
        <v>20.2 GJ Electricity</v>
      </c>
      <c r="E25">
        <f>IF($B$10="Don't know","mixed",IF($B$10="Natural gas",INDEX(P_GasEff!$B:$B,MATCH($B$5,P_GasEff!$A:$A,0)),IF($B$10="Electric heat pump",INDEX(P_HPcop!$B:$B,MATCH($B$5,P_HPcop!$A:$A,0)),INDEX(P_Systems!$C:$C,MATCH($B$10,P_Systems!$A:$A,0)))))</f>
        <v>2</v>
      </c>
      <c r="F25" t="str">
        <f>IF($B$10="Don't know","mixed",INDEX(P_Systems!$B:$B,MATCH($B$10,P_Systems!$A:$A,0)))</f>
        <v>Electricity</v>
      </c>
      <c r="G25">
        <f>IF($B$10="Don't know",$I$25*INDEX(P_DKHeat!$L:$L,MATCH($B$5,P_DKHeat!$A:$A,0)),$I$25/$E$25)</f>
        <v>20.215692799999999</v>
      </c>
      <c r="H25">
        <f>IF($B$10="Don't know",0,IF($F$25="Electricity",$B$19,INDEX(P_EF_Fuel!$D:$D,MATCH($F$25,P_EF_Fuel!$A:$A,0))))</f>
        <v>73.561100208768281</v>
      </c>
      <c r="I25">
        <f>INDEX(P_Heating!$B:$B,MATCH($B$17,P_Heating!$A:$A,0))*$B$16*$B$20*$B$22</f>
        <v>40.431385599999999</v>
      </c>
    </row>
    <row r="26" spans="1:9">
      <c r="A26" s="11" t="s">
        <v>43</v>
      </c>
      <c r="B26" s="12">
        <f>IF($B$11="Don't know",$I$26*INDEX(P_DKWater!$H:$H,MATCH($B$5,P_DKWater!$A:$A,0)),$G$26*$H$26)</f>
        <v>890.90665808397137</v>
      </c>
      <c r="D26" s="2" t="str">
        <f>TEXT($G$26,"0.0")&amp;" GJ "&amp;$F$26</f>
        <v>12.1 GJ Electricity</v>
      </c>
      <c r="E26">
        <f>IF($B$11="Don't know","mixed",INDEX(P_WaterHeat!$C:$C,MATCH($B$11,P_WaterHeat!$A:$A,0)))</f>
        <v>0.9</v>
      </c>
      <c r="F26" t="str">
        <f>IF($B$11="Don't know","mixed",INDEX(P_WaterHeat!$B:$B,MATCH($B$11,P_WaterHeat!$A:$A,0)))</f>
        <v>Electricity</v>
      </c>
      <c r="G26">
        <f>IF($B$11="Don't know",$I$26*INDEX(P_DKWater!$I:$I,MATCH($B$5,P_DKWater!$A:$A,0)),$I$26/$E$26)</f>
        <v>12.111111111111111</v>
      </c>
      <c r="H26">
        <f>IF($B$11="Don't know",0,IF($F$26="Electricity",$B$19,INDEX(P_EF_Fuel!$D:$D,MATCH($F$26,P_EF_Fuel!$A:$A,0))))</f>
        <v>73.561100208768281</v>
      </c>
      <c r="I26">
        <f>INDEX(P_U_water!$B:$B,MATCH($B$18,P_U_water!$A:$A,0))</f>
        <v>10.9</v>
      </c>
    </row>
    <row r="27" spans="1:9">
      <c r="A27" s="11" t="s">
        <v>44</v>
      </c>
      <c r="B27" s="12">
        <f>$G$27*$B$19</f>
        <v>557.65822644392824</v>
      </c>
      <c r="D27" s="2" t="str">
        <f>TEXT($G$27,"0.0")&amp;" GJ electricity"</f>
        <v>7.6 GJ electricity</v>
      </c>
      <c r="G27">
        <f>IF($B$12="Yes",INDEX(P_Cooling!$B:$B,MATCH($B$17,P_Cooling!$A:$A,0))*$B$16*$B$20*$B$22,0)</f>
        <v>7.5808847999999998</v>
      </c>
    </row>
    <row r="28" spans="1:9">
      <c r="A28" s="11" t="s">
        <v>45</v>
      </c>
      <c r="B28" s="12">
        <f>$G$28*$B$19</f>
        <v>1377.0637959081421</v>
      </c>
      <c r="D28" s="2" t="str">
        <f>TEXT($G$28,"0.0")&amp;" GJ electricity"</f>
        <v>18.7 GJ electricity</v>
      </c>
      <c r="G28">
        <f>INDEX(P_OtherElec!$B:$B,MATCH($B$5,P_OtherElec!$A:$A,0))*$B$21</f>
        <v>18.72</v>
      </c>
    </row>
    <row r="29" spans="1:9">
      <c r="A29" s="13" t="s">
        <v>46</v>
      </c>
      <c r="B29" s="14">
        <f>SUM(B25:B28)</f>
        <v>4312.7172842865175</v>
      </c>
    </row>
    <row r="30" spans="1:9">
      <c r="A30" s="15" t="s">
        <v>47</v>
      </c>
      <c r="B30" s="16">
        <f>B29/1000</f>
        <v>4.3127172842865171</v>
      </c>
    </row>
    <row r="31" spans="1:9">
      <c r="A31" s="17" t="s">
        <v>48</v>
      </c>
      <c r="B31" s="18">
        <f>$B$29/$B$16</f>
        <v>29.013576554891376</v>
      </c>
    </row>
    <row r="32" spans="1:9">
      <c r="A32" s="15" t="s">
        <v>49</v>
      </c>
      <c r="B32" s="16">
        <f>$B$29/($B$16/0.092903)</f>
        <v>2.6954483026790736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8"/>
  <sheetViews>
    <sheetView tabSelected="1" topLeftCell="A245" workbookViewId="0"/>
  </sheetViews>
  <sheetFormatPr defaultRowHeight="15"/>
  <cols>
    <col min="1" max="1" width="239.85546875" bestFit="1" customWidth="1"/>
  </cols>
  <sheetData>
    <row r="1" spans="1:2">
      <c r="A1" s="19" t="s">
        <v>50</v>
      </c>
      <c r="B1" s="19" t="s">
        <v>51</v>
      </c>
    </row>
    <row r="2" spans="1:2">
      <c r="A2" t="s">
        <v>52</v>
      </c>
      <c r="B2">
        <v>0.85</v>
      </c>
    </row>
    <row r="3" spans="1:2">
      <c r="A3" t="s">
        <v>53</v>
      </c>
      <c r="B3">
        <v>0.65</v>
      </c>
    </row>
    <row r="4" spans="1:2">
      <c r="A4" t="s">
        <v>54</v>
      </c>
      <c r="B4">
        <v>0.45</v>
      </c>
    </row>
    <row r="5" spans="1:2">
      <c r="A5" t="s">
        <v>55</v>
      </c>
      <c r="B5">
        <v>0.34</v>
      </c>
    </row>
    <row r="6" spans="1:2">
      <c r="A6" t="s">
        <v>56</v>
      </c>
      <c r="B6">
        <v>0.85</v>
      </c>
    </row>
    <row r="7" spans="1:2">
      <c r="A7" t="s">
        <v>57</v>
      </c>
      <c r="B7">
        <v>0.55000000000000004</v>
      </c>
    </row>
    <row r="8" spans="1:2">
      <c r="A8" t="s">
        <v>58</v>
      </c>
      <c r="B8">
        <v>0.4</v>
      </c>
    </row>
    <row r="9" spans="1:2">
      <c r="A9" t="s">
        <v>59</v>
      </c>
      <c r="B9">
        <v>0.33</v>
      </c>
    </row>
    <row r="10" spans="1:2">
      <c r="A10" t="s">
        <v>60</v>
      </c>
      <c r="B10">
        <v>0.9</v>
      </c>
    </row>
    <row r="11" spans="1:2">
      <c r="A11" t="s">
        <v>61</v>
      </c>
      <c r="B11">
        <v>0.65</v>
      </c>
    </row>
    <row r="12" spans="1:2">
      <c r="A12" t="s">
        <v>62</v>
      </c>
      <c r="B12">
        <v>0.45</v>
      </c>
    </row>
    <row r="13" spans="1:2">
      <c r="A13" t="s">
        <v>63</v>
      </c>
      <c r="B13">
        <v>0.36</v>
      </c>
    </row>
    <row r="14" spans="1:2">
      <c r="A14" t="s">
        <v>64</v>
      </c>
      <c r="B14">
        <v>0.55000000000000004</v>
      </c>
    </row>
    <row r="15" spans="1:2">
      <c r="A15" t="s">
        <v>65</v>
      </c>
      <c r="B15">
        <v>0.4</v>
      </c>
    </row>
    <row r="16" spans="1:2">
      <c r="A16" t="s">
        <v>66</v>
      </c>
      <c r="B16">
        <v>0.3</v>
      </c>
    </row>
    <row r="17" spans="1:2">
      <c r="A17" t="s">
        <v>67</v>
      </c>
      <c r="B17">
        <v>0.22</v>
      </c>
    </row>
    <row r="18" spans="1:2">
      <c r="A18" t="s">
        <v>68</v>
      </c>
      <c r="B18">
        <v>0.97</v>
      </c>
    </row>
    <row r="19" spans="1:2">
      <c r="A19" t="s">
        <v>69</v>
      </c>
      <c r="B19">
        <v>0.7</v>
      </c>
    </row>
    <row r="20" spans="1:2">
      <c r="A20" t="s">
        <v>70</v>
      </c>
      <c r="B20">
        <v>0.49</v>
      </c>
    </row>
    <row r="21" spans="1:2">
      <c r="A21" t="s">
        <v>71</v>
      </c>
      <c r="B21">
        <v>0.39</v>
      </c>
    </row>
    <row r="22" spans="1:2">
      <c r="A22" t="s">
        <v>72</v>
      </c>
      <c r="B22">
        <v>0.92</v>
      </c>
    </row>
    <row r="23" spans="1:2">
      <c r="A23" t="s">
        <v>73</v>
      </c>
      <c r="B23">
        <v>0.66</v>
      </c>
    </row>
    <row r="24" spans="1:2">
      <c r="A24" t="s">
        <v>74</v>
      </c>
      <c r="B24">
        <v>0.46</v>
      </c>
    </row>
    <row r="25" spans="1:2">
      <c r="A25" t="s">
        <v>75</v>
      </c>
      <c r="B25">
        <v>0.37</v>
      </c>
    </row>
    <row r="26" spans="1:2">
      <c r="A26" t="s">
        <v>76</v>
      </c>
      <c r="B26">
        <v>0.81</v>
      </c>
    </row>
    <row r="27" spans="1:2">
      <c r="A27" t="s">
        <v>77</v>
      </c>
      <c r="B27">
        <v>0.52</v>
      </c>
    </row>
    <row r="28" spans="1:2">
      <c r="A28" t="s">
        <v>78</v>
      </c>
      <c r="B28">
        <v>0.38</v>
      </c>
    </row>
    <row r="29" spans="1:2">
      <c r="A29" t="s">
        <v>79</v>
      </c>
      <c r="B29">
        <v>0.31</v>
      </c>
    </row>
    <row r="30" spans="1:2">
      <c r="A30" t="s">
        <v>80</v>
      </c>
      <c r="B30">
        <v>0.85</v>
      </c>
    </row>
    <row r="31" spans="1:2">
      <c r="A31" t="s">
        <v>81</v>
      </c>
      <c r="B31">
        <v>0.57999999999999996</v>
      </c>
    </row>
    <row r="32" spans="1:2">
      <c r="A32" t="s">
        <v>82</v>
      </c>
      <c r="B32">
        <v>0.42</v>
      </c>
    </row>
    <row r="33" spans="1:2">
      <c r="A33" t="s">
        <v>83</v>
      </c>
      <c r="B33">
        <v>0.33</v>
      </c>
    </row>
    <row r="34" spans="1:2">
      <c r="A34" t="s">
        <v>84</v>
      </c>
      <c r="B34">
        <v>0.78</v>
      </c>
    </row>
    <row r="35" spans="1:2">
      <c r="A35" t="s">
        <v>85</v>
      </c>
      <c r="B35">
        <v>0.6</v>
      </c>
    </row>
    <row r="36" spans="1:2">
      <c r="A36" t="s">
        <v>86</v>
      </c>
      <c r="B36">
        <v>0.42</v>
      </c>
    </row>
    <row r="37" spans="1:2">
      <c r="A37" t="s">
        <v>87</v>
      </c>
      <c r="B37">
        <v>0.31</v>
      </c>
    </row>
    <row r="38" spans="1:2">
      <c r="A38" t="s">
        <v>88</v>
      </c>
      <c r="B38">
        <v>0.81</v>
      </c>
    </row>
    <row r="39" spans="1:2">
      <c r="A39" t="s">
        <v>89</v>
      </c>
      <c r="B39">
        <v>0.52</v>
      </c>
    </row>
    <row r="40" spans="1:2">
      <c r="A40" t="s">
        <v>90</v>
      </c>
      <c r="B40">
        <v>0.38</v>
      </c>
    </row>
    <row r="41" spans="1:2">
      <c r="A41" t="s">
        <v>91</v>
      </c>
      <c r="B41">
        <v>0.31</v>
      </c>
    </row>
    <row r="42" spans="1:2">
      <c r="A42" t="s">
        <v>92</v>
      </c>
      <c r="B42">
        <v>1.24</v>
      </c>
    </row>
    <row r="43" spans="1:2">
      <c r="A43" t="s">
        <v>93</v>
      </c>
      <c r="B43">
        <v>0.89</v>
      </c>
    </row>
    <row r="44" spans="1:2">
      <c r="A44" t="s">
        <v>94</v>
      </c>
      <c r="B44">
        <v>0.62</v>
      </c>
    </row>
    <row r="45" spans="1:2">
      <c r="A45" t="s">
        <v>95</v>
      </c>
      <c r="B45">
        <v>0.49</v>
      </c>
    </row>
    <row r="46" spans="1:2">
      <c r="A46" t="s">
        <v>96</v>
      </c>
      <c r="B46">
        <v>1.5</v>
      </c>
    </row>
    <row r="47" spans="1:2">
      <c r="A47" t="s">
        <v>97</v>
      </c>
      <c r="B47">
        <v>1.08</v>
      </c>
    </row>
    <row r="48" spans="1:2">
      <c r="A48" t="s">
        <v>98</v>
      </c>
      <c r="B48">
        <v>0.75</v>
      </c>
    </row>
    <row r="49" spans="1:2">
      <c r="A49" t="s">
        <v>99</v>
      </c>
      <c r="B49">
        <v>0.6</v>
      </c>
    </row>
    <row r="50" spans="1:2">
      <c r="A50" t="s">
        <v>100</v>
      </c>
      <c r="B50">
        <v>1.85</v>
      </c>
    </row>
    <row r="51" spans="1:2">
      <c r="A51" t="s">
        <v>101</v>
      </c>
      <c r="B51">
        <v>1.34</v>
      </c>
    </row>
    <row r="52" spans="1:2">
      <c r="A52" t="s">
        <v>102</v>
      </c>
      <c r="B52">
        <v>0.93</v>
      </c>
    </row>
    <row r="53" spans="1:2">
      <c r="A53" t="s">
        <v>103</v>
      </c>
      <c r="B53">
        <v>0.74</v>
      </c>
    </row>
    <row r="54" spans="1:2">
      <c r="A54" t="s">
        <v>104</v>
      </c>
      <c r="B54">
        <v>0.314</v>
      </c>
    </row>
    <row r="55" spans="1:2">
      <c r="A55" t="s">
        <v>105</v>
      </c>
      <c r="B55">
        <v>0.27900000000000003</v>
      </c>
    </row>
    <row r="56" spans="1:2">
      <c r="A56" t="s">
        <v>106</v>
      </c>
      <c r="B56">
        <v>0.247</v>
      </c>
    </row>
    <row r="57" spans="1:2">
      <c r="A57" t="s">
        <v>107</v>
      </c>
      <c r="B57">
        <v>0.19900000000000001</v>
      </c>
    </row>
    <row r="58" spans="1:2">
      <c r="A58" t="s">
        <v>108</v>
      </c>
      <c r="B58">
        <v>0.46</v>
      </c>
    </row>
    <row r="59" spans="1:2">
      <c r="A59" t="s">
        <v>109</v>
      </c>
      <c r="B59">
        <v>0.35699999999999998</v>
      </c>
    </row>
    <row r="60" spans="1:2">
      <c r="A60" t="s">
        <v>110</v>
      </c>
      <c r="B60">
        <v>0.28899999999999998</v>
      </c>
    </row>
    <row r="61" spans="1:2">
      <c r="A61" t="s">
        <v>111</v>
      </c>
      <c r="B61">
        <v>0.26700000000000002</v>
      </c>
    </row>
    <row r="62" spans="1:2">
      <c r="A62" t="s">
        <v>112</v>
      </c>
      <c r="B62">
        <v>0.33100000000000002</v>
      </c>
    </row>
    <row r="63" spans="1:2">
      <c r="A63" t="s">
        <v>113</v>
      </c>
      <c r="B63">
        <v>0.32</v>
      </c>
    </row>
    <row r="64" spans="1:2">
      <c r="A64" t="s">
        <v>114</v>
      </c>
      <c r="B64">
        <v>0.26100000000000001</v>
      </c>
    </row>
    <row r="65" spans="1:2">
      <c r="A65" t="s">
        <v>115</v>
      </c>
      <c r="B65">
        <v>0.217</v>
      </c>
    </row>
    <row r="66" spans="1:2">
      <c r="A66" t="s">
        <v>116</v>
      </c>
      <c r="B66">
        <v>0.27800000000000002</v>
      </c>
    </row>
    <row r="67" spans="1:2">
      <c r="A67" t="s">
        <v>117</v>
      </c>
      <c r="B67">
        <v>0.247</v>
      </c>
    </row>
    <row r="68" spans="1:2">
      <c r="A68" t="s">
        <v>118</v>
      </c>
      <c r="B68">
        <v>0.23300000000000001</v>
      </c>
    </row>
    <row r="69" spans="1:2">
      <c r="A69" t="s">
        <v>119</v>
      </c>
      <c r="B69">
        <v>0.182</v>
      </c>
    </row>
    <row r="70" spans="1:2">
      <c r="A70" t="s">
        <v>120</v>
      </c>
      <c r="B70">
        <v>0.191</v>
      </c>
    </row>
    <row r="71" spans="1:2">
      <c r="A71" t="s">
        <v>121</v>
      </c>
      <c r="B71">
        <v>0.16300000000000001</v>
      </c>
    </row>
    <row r="72" spans="1:2">
      <c r="A72" t="s">
        <v>122</v>
      </c>
      <c r="B72">
        <v>0.14099999999999999</v>
      </c>
    </row>
    <row r="73" spans="1:2">
      <c r="A73" t="s">
        <v>123</v>
      </c>
      <c r="B73">
        <v>0.111</v>
      </c>
    </row>
    <row r="74" spans="1:2">
      <c r="A74" t="s">
        <v>124</v>
      </c>
      <c r="B74">
        <v>0.97499999999999998</v>
      </c>
    </row>
    <row r="75" spans="1:2">
      <c r="A75" t="s">
        <v>125</v>
      </c>
      <c r="B75">
        <v>0.8</v>
      </c>
    </row>
    <row r="76" spans="1:2">
      <c r="A76" t="s">
        <v>126</v>
      </c>
      <c r="B76">
        <v>0.65</v>
      </c>
    </row>
    <row r="77" spans="1:2">
      <c r="A77" t="s">
        <v>127</v>
      </c>
      <c r="B77">
        <v>0.59499999999999997</v>
      </c>
    </row>
    <row r="78" spans="1:2">
      <c r="A78" t="s">
        <v>128</v>
      </c>
      <c r="B78">
        <v>0.11799999999999999</v>
      </c>
    </row>
    <row r="79" spans="1:2">
      <c r="A79" t="s">
        <v>129</v>
      </c>
      <c r="B79">
        <v>9.2999999999999999E-2</v>
      </c>
    </row>
    <row r="80" spans="1:2">
      <c r="A80" t="s">
        <v>130</v>
      </c>
      <c r="B80">
        <v>6.4000000000000001E-2</v>
      </c>
    </row>
    <row r="81" spans="1:2">
      <c r="A81" t="s">
        <v>131</v>
      </c>
      <c r="B81">
        <v>5.1999999999999998E-2</v>
      </c>
    </row>
    <row r="82" spans="1:2">
      <c r="A82" t="s">
        <v>132</v>
      </c>
      <c r="B82">
        <v>0.27900000000000003</v>
      </c>
    </row>
    <row r="83" spans="1:2">
      <c r="A83" t="s">
        <v>133</v>
      </c>
      <c r="B83">
        <v>0.248</v>
      </c>
    </row>
    <row r="84" spans="1:2">
      <c r="A84" t="s">
        <v>134</v>
      </c>
      <c r="B84">
        <v>0.23300000000000001</v>
      </c>
    </row>
    <row r="85" spans="1:2">
      <c r="A85" t="s">
        <v>135</v>
      </c>
      <c r="B85">
        <v>0.182</v>
      </c>
    </row>
    <row r="86" spans="1:2">
      <c r="A86" t="s">
        <v>136</v>
      </c>
      <c r="B86">
        <v>0.11799999999999999</v>
      </c>
    </row>
    <row r="87" spans="1:2">
      <c r="A87" t="s">
        <v>137</v>
      </c>
      <c r="B87">
        <v>9.2999999999999999E-2</v>
      </c>
    </row>
    <row r="88" spans="1:2">
      <c r="A88" t="s">
        <v>138</v>
      </c>
      <c r="B88">
        <v>6.4000000000000001E-2</v>
      </c>
    </row>
    <row r="89" spans="1:2">
      <c r="A89" t="s">
        <v>139</v>
      </c>
      <c r="B89">
        <v>5.1999999999999998E-2</v>
      </c>
    </row>
    <row r="90" spans="1:2">
      <c r="A90" t="s">
        <v>140</v>
      </c>
      <c r="B90">
        <v>0.33900000000000002</v>
      </c>
    </row>
    <row r="91" spans="1:2">
      <c r="A91" t="s">
        <v>141</v>
      </c>
      <c r="B91">
        <v>0.32200000000000001</v>
      </c>
    </row>
    <row r="92" spans="1:2">
      <c r="A92" t="s">
        <v>142</v>
      </c>
      <c r="B92">
        <v>0.26300000000000001</v>
      </c>
    </row>
    <row r="93" spans="1:2">
      <c r="A93" t="s">
        <v>143</v>
      </c>
      <c r="B93">
        <v>0.22</v>
      </c>
    </row>
    <row r="94" spans="1:2">
      <c r="A94" t="s">
        <v>144</v>
      </c>
      <c r="B94">
        <v>0.307</v>
      </c>
    </row>
    <row r="95" spans="1:2">
      <c r="A95" t="s">
        <v>145</v>
      </c>
      <c r="B95">
        <v>0.27300000000000002</v>
      </c>
    </row>
    <row r="96" spans="1:2">
      <c r="A96" t="s">
        <v>146</v>
      </c>
      <c r="B96">
        <v>0.24399999999999999</v>
      </c>
    </row>
    <row r="97" spans="1:2">
      <c r="A97" t="s">
        <v>147</v>
      </c>
      <c r="B97">
        <v>0.19600000000000001</v>
      </c>
    </row>
    <row r="98" spans="1:2">
      <c r="A98" t="s">
        <v>148</v>
      </c>
      <c r="B98">
        <v>0.06</v>
      </c>
    </row>
    <row r="99" spans="1:2">
      <c r="A99" t="s">
        <v>149</v>
      </c>
      <c r="B99">
        <v>4.4999999999999998E-2</v>
      </c>
    </row>
    <row r="100" spans="1:2">
      <c r="A100" t="s">
        <v>150</v>
      </c>
      <c r="B100">
        <v>0.03</v>
      </c>
    </row>
    <row r="101" spans="1:2">
      <c r="A101" t="s">
        <v>151</v>
      </c>
      <c r="B101">
        <v>2.5000000000000001E-2</v>
      </c>
    </row>
    <row r="102" spans="1:2">
      <c r="A102" t="s">
        <v>152</v>
      </c>
      <c r="B102">
        <v>0.26700000000000002</v>
      </c>
    </row>
    <row r="103" spans="1:2">
      <c r="A103" t="s">
        <v>153</v>
      </c>
      <c r="B103">
        <v>0.23599999999999999</v>
      </c>
    </row>
    <row r="104" spans="1:2">
      <c r="A104" t="s">
        <v>154</v>
      </c>
      <c r="B104">
        <v>0.221</v>
      </c>
    </row>
    <row r="105" spans="1:2">
      <c r="A105" t="s">
        <v>155</v>
      </c>
      <c r="B105">
        <v>0.17299999999999999</v>
      </c>
    </row>
    <row r="106" spans="1:2">
      <c r="A106" t="s">
        <v>156</v>
      </c>
      <c r="B106">
        <v>2.8000000000000001E-2</v>
      </c>
    </row>
    <row r="107" spans="1:2">
      <c r="A107" t="s">
        <v>157</v>
      </c>
      <c r="B107">
        <v>2.1000000000000001E-2</v>
      </c>
    </row>
    <row r="108" spans="1:2">
      <c r="A108" t="s">
        <v>158</v>
      </c>
      <c r="B108">
        <v>1.4E-2</v>
      </c>
    </row>
    <row r="109" spans="1:2">
      <c r="A109" t="s">
        <v>159</v>
      </c>
      <c r="B109">
        <v>1.0999999999999999E-2</v>
      </c>
    </row>
    <row r="110" spans="1:2">
      <c r="A110" t="s">
        <v>160</v>
      </c>
      <c r="B110">
        <v>0.314</v>
      </c>
    </row>
    <row r="111" spans="1:2">
      <c r="A111" t="s">
        <v>161</v>
      </c>
      <c r="B111">
        <v>0.27900000000000003</v>
      </c>
    </row>
    <row r="112" spans="1:2">
      <c r="A112" t="s">
        <v>162</v>
      </c>
      <c r="B112">
        <v>0.247</v>
      </c>
    </row>
    <row r="113" spans="1:2">
      <c r="A113" t="s">
        <v>163</v>
      </c>
      <c r="B113">
        <v>0.19900000000000001</v>
      </c>
    </row>
    <row r="114" spans="1:2">
      <c r="A114" t="s">
        <v>164</v>
      </c>
      <c r="B114">
        <v>0.379</v>
      </c>
    </row>
    <row r="115" spans="1:2">
      <c r="A115" t="s">
        <v>165</v>
      </c>
      <c r="B115">
        <v>0.33400000000000002</v>
      </c>
    </row>
    <row r="116" spans="1:2">
      <c r="A116" t="s">
        <v>166</v>
      </c>
      <c r="B116">
        <v>0.27100000000000002</v>
      </c>
    </row>
    <row r="117" spans="1:2">
      <c r="A117" t="s">
        <v>167</v>
      </c>
      <c r="B117">
        <v>0.23599999999999999</v>
      </c>
    </row>
    <row r="118" spans="1:2">
      <c r="A118" t="s">
        <v>168</v>
      </c>
      <c r="B118">
        <v>0.35799999999999998</v>
      </c>
    </row>
    <row r="119" spans="1:2">
      <c r="A119" t="s">
        <v>169</v>
      </c>
      <c r="B119">
        <v>0.32800000000000001</v>
      </c>
    </row>
    <row r="120" spans="1:2">
      <c r="A120" t="s">
        <v>170</v>
      </c>
      <c r="B120">
        <v>0.26700000000000002</v>
      </c>
    </row>
    <row r="121" spans="1:2">
      <c r="A121" t="s">
        <v>171</v>
      </c>
      <c r="B121">
        <v>0.22700000000000001</v>
      </c>
    </row>
    <row r="122" spans="1:2">
      <c r="A122" t="s">
        <v>172</v>
      </c>
      <c r="B122">
        <v>0.495</v>
      </c>
    </row>
    <row r="123" spans="1:2">
      <c r="A123" t="s">
        <v>173</v>
      </c>
      <c r="B123">
        <v>0.38800000000000001</v>
      </c>
    </row>
    <row r="124" spans="1:2">
      <c r="A124" t="s">
        <v>174</v>
      </c>
      <c r="B124">
        <v>0.311</v>
      </c>
    </row>
    <row r="125" spans="1:2">
      <c r="A125" t="s">
        <v>175</v>
      </c>
      <c r="B125">
        <v>0.28699999999999998</v>
      </c>
    </row>
    <row r="126" spans="1:2">
      <c r="A126" t="s">
        <v>176</v>
      </c>
      <c r="B126">
        <v>0.311</v>
      </c>
    </row>
    <row r="127" spans="1:2">
      <c r="A127" t="s">
        <v>177</v>
      </c>
      <c r="B127">
        <v>0.27700000000000002</v>
      </c>
    </row>
    <row r="128" spans="1:2">
      <c r="A128" t="s">
        <v>178</v>
      </c>
      <c r="B128">
        <v>0.246</v>
      </c>
    </row>
    <row r="129" spans="1:2">
      <c r="A129" t="s">
        <v>179</v>
      </c>
      <c r="B129">
        <v>0.19800000000000001</v>
      </c>
    </row>
    <row r="130" spans="1:2">
      <c r="A130" t="s">
        <v>180</v>
      </c>
      <c r="B130">
        <v>0.30599999999999999</v>
      </c>
    </row>
    <row r="131" spans="1:2">
      <c r="A131" t="s">
        <v>181</v>
      </c>
      <c r="B131">
        <v>0.27200000000000002</v>
      </c>
    </row>
    <row r="132" spans="1:2">
      <c r="A132" t="s">
        <v>182</v>
      </c>
      <c r="B132">
        <v>0.24399999999999999</v>
      </c>
    </row>
    <row r="133" spans="1:2">
      <c r="A133" t="s">
        <v>183</v>
      </c>
      <c r="B133">
        <v>0.19500000000000001</v>
      </c>
    </row>
    <row r="134" spans="1:2">
      <c r="A134" t="s">
        <v>184</v>
      </c>
      <c r="B134">
        <v>8.7999999999999995E-2</v>
      </c>
    </row>
    <row r="135" spans="1:2">
      <c r="A135" t="s">
        <v>185</v>
      </c>
      <c r="B135">
        <v>6.7000000000000004E-2</v>
      </c>
    </row>
    <row r="136" spans="1:2">
      <c r="A136" t="s">
        <v>186</v>
      </c>
      <c r="B136">
        <v>4.3999999999999997E-2</v>
      </c>
    </row>
    <row r="137" spans="1:2">
      <c r="A137" t="s">
        <v>187</v>
      </c>
      <c r="B137">
        <v>3.5999999999999997E-2</v>
      </c>
    </row>
    <row r="138" spans="1:2">
      <c r="A138" t="s">
        <v>188</v>
      </c>
      <c r="B138">
        <v>0.58499999999999996</v>
      </c>
    </row>
    <row r="139" spans="1:2">
      <c r="A139" t="s">
        <v>189</v>
      </c>
      <c r="B139">
        <v>0.46899999999999997</v>
      </c>
    </row>
    <row r="140" spans="1:2">
      <c r="A140" t="s">
        <v>190</v>
      </c>
      <c r="B140">
        <v>0.36799999999999999</v>
      </c>
    </row>
    <row r="141" spans="1:2">
      <c r="A141" t="s">
        <v>191</v>
      </c>
      <c r="B141">
        <v>0.34</v>
      </c>
    </row>
    <row r="142" spans="1:2">
      <c r="A142" t="s">
        <v>192</v>
      </c>
      <c r="B142">
        <v>0.30599999999999999</v>
      </c>
    </row>
    <row r="143" spans="1:2">
      <c r="A143" t="s">
        <v>193</v>
      </c>
      <c r="B143">
        <v>0.27200000000000002</v>
      </c>
    </row>
    <row r="144" spans="1:2">
      <c r="A144" t="s">
        <v>194</v>
      </c>
      <c r="B144">
        <v>0.24399999999999999</v>
      </c>
    </row>
    <row r="145" spans="1:2">
      <c r="A145" t="s">
        <v>195</v>
      </c>
      <c r="B145">
        <v>0.19500000000000001</v>
      </c>
    </row>
    <row r="146" spans="1:2">
      <c r="A146" t="s">
        <v>196</v>
      </c>
      <c r="B146">
        <v>0.36399999999999999</v>
      </c>
    </row>
    <row r="147" spans="1:2">
      <c r="A147" t="s">
        <v>197</v>
      </c>
      <c r="B147">
        <v>0.33</v>
      </c>
    </row>
    <row r="148" spans="1:2">
      <c r="A148" t="s">
        <v>198</v>
      </c>
      <c r="B148">
        <v>0.26800000000000002</v>
      </c>
    </row>
    <row r="149" spans="1:2">
      <c r="A149" t="s">
        <v>199</v>
      </c>
      <c r="B149">
        <v>0.23</v>
      </c>
    </row>
    <row r="150" spans="1:2">
      <c r="A150" t="s">
        <v>200</v>
      </c>
      <c r="B150">
        <v>0.622</v>
      </c>
    </row>
    <row r="151" spans="1:2">
      <c r="A151" t="s">
        <v>201</v>
      </c>
      <c r="B151">
        <v>0.501</v>
      </c>
    </row>
    <row r="152" spans="1:2">
      <c r="A152" t="s">
        <v>202</v>
      </c>
      <c r="B152">
        <v>0.39100000000000001</v>
      </c>
    </row>
    <row r="153" spans="1:2">
      <c r="A153" t="s">
        <v>203</v>
      </c>
      <c r="B153">
        <v>0.36099999999999999</v>
      </c>
    </row>
    <row r="154" spans="1:2">
      <c r="A154" t="s">
        <v>204</v>
      </c>
      <c r="B154">
        <v>0.13500000000000001</v>
      </c>
    </row>
    <row r="155" spans="1:2">
      <c r="A155" t="s">
        <v>205</v>
      </c>
      <c r="B155">
        <v>0.109</v>
      </c>
    </row>
    <row r="156" spans="1:2">
      <c r="A156" t="s">
        <v>206</v>
      </c>
      <c r="B156">
        <v>8.2000000000000003E-2</v>
      </c>
    </row>
    <row r="157" spans="1:2">
      <c r="A157" t="s">
        <v>207</v>
      </c>
      <c r="B157">
        <v>6.6000000000000003E-2</v>
      </c>
    </row>
    <row r="158" spans="1:2">
      <c r="A158" t="s">
        <v>208</v>
      </c>
      <c r="B158">
        <v>0.311</v>
      </c>
    </row>
    <row r="159" spans="1:2">
      <c r="A159" t="s">
        <v>209</v>
      </c>
      <c r="B159">
        <v>0.27600000000000002</v>
      </c>
    </row>
    <row r="160" spans="1:2">
      <c r="A160" t="s">
        <v>210</v>
      </c>
      <c r="B160">
        <v>0.246</v>
      </c>
    </row>
    <row r="161" spans="1:2">
      <c r="A161" t="s">
        <v>211</v>
      </c>
      <c r="B161">
        <v>0.19800000000000001</v>
      </c>
    </row>
    <row r="162" spans="1:2">
      <c r="A162" t="s">
        <v>212</v>
      </c>
      <c r="B162">
        <v>0.52100000000000002</v>
      </c>
    </row>
    <row r="163" spans="1:2">
      <c r="A163" t="s">
        <v>213</v>
      </c>
      <c r="B163">
        <v>0.41199999999999998</v>
      </c>
    </row>
    <row r="164" spans="1:2">
      <c r="A164" t="s">
        <v>214</v>
      </c>
      <c r="B164">
        <v>0.32800000000000001</v>
      </c>
    </row>
    <row r="165" spans="1:2">
      <c r="A165" t="s">
        <v>215</v>
      </c>
      <c r="B165">
        <v>0.30299999999999999</v>
      </c>
    </row>
    <row r="166" spans="1:2">
      <c r="A166" t="s">
        <v>216</v>
      </c>
      <c r="B166">
        <v>0.42299999999999999</v>
      </c>
    </row>
    <row r="167" spans="1:2">
      <c r="A167" t="s">
        <v>217</v>
      </c>
      <c r="B167">
        <v>0.34599999999999997</v>
      </c>
    </row>
    <row r="168" spans="1:2">
      <c r="A168" t="s">
        <v>218</v>
      </c>
      <c r="B168">
        <v>0.28100000000000003</v>
      </c>
    </row>
    <row r="169" spans="1:2">
      <c r="A169" t="s">
        <v>219</v>
      </c>
      <c r="B169">
        <v>0.252</v>
      </c>
    </row>
    <row r="170" spans="1:2">
      <c r="A170" t="s">
        <v>220</v>
      </c>
      <c r="B170">
        <v>0.30499999999999999</v>
      </c>
    </row>
    <row r="171" spans="1:2">
      <c r="A171" t="s">
        <v>221</v>
      </c>
      <c r="B171">
        <v>0.27100000000000002</v>
      </c>
    </row>
    <row r="172" spans="1:2">
      <c r="A172" t="s">
        <v>222</v>
      </c>
      <c r="B172">
        <v>0.24299999999999999</v>
      </c>
    </row>
    <row r="173" spans="1:2">
      <c r="A173" t="s">
        <v>223</v>
      </c>
      <c r="B173">
        <v>0.19500000000000001</v>
      </c>
    </row>
    <row r="174" spans="1:2">
      <c r="A174" t="s">
        <v>224</v>
      </c>
      <c r="B174">
        <v>0.50900000000000001</v>
      </c>
    </row>
    <row r="175" spans="1:2">
      <c r="A175" t="s">
        <v>225</v>
      </c>
      <c r="B175">
        <v>0.4</v>
      </c>
    </row>
    <row r="176" spans="1:2">
      <c r="A176" t="s">
        <v>226</v>
      </c>
      <c r="B176">
        <v>0.32</v>
      </c>
    </row>
    <row r="177" spans="1:2">
      <c r="A177" t="s">
        <v>227</v>
      </c>
      <c r="B177">
        <v>0.29499999999999998</v>
      </c>
    </row>
    <row r="178" spans="1:2">
      <c r="A178" t="s">
        <v>228</v>
      </c>
      <c r="B178">
        <v>0.311</v>
      </c>
    </row>
    <row r="179" spans="1:2">
      <c r="A179" t="s">
        <v>229</v>
      </c>
      <c r="B179">
        <v>0.27600000000000002</v>
      </c>
    </row>
    <row r="180" spans="1:2">
      <c r="A180" t="s">
        <v>230</v>
      </c>
      <c r="B180">
        <v>0.246</v>
      </c>
    </row>
    <row r="181" spans="1:2">
      <c r="A181" t="s">
        <v>231</v>
      </c>
      <c r="B181">
        <v>0.19800000000000001</v>
      </c>
    </row>
    <row r="182" spans="1:2">
      <c r="A182" t="s">
        <v>232</v>
      </c>
      <c r="B182">
        <v>0.31</v>
      </c>
    </row>
    <row r="183" spans="1:2">
      <c r="A183" t="s">
        <v>233</v>
      </c>
      <c r="B183">
        <v>0.27600000000000002</v>
      </c>
    </row>
    <row r="184" spans="1:2">
      <c r="A184" t="s">
        <v>234</v>
      </c>
      <c r="B184">
        <v>0.246</v>
      </c>
    </row>
    <row r="185" spans="1:2">
      <c r="A185" t="s">
        <v>235</v>
      </c>
      <c r="B185">
        <v>0.19700000000000001</v>
      </c>
    </row>
    <row r="186" spans="1:2">
      <c r="A186" t="s">
        <v>236</v>
      </c>
      <c r="B186">
        <v>0.28699999999999998</v>
      </c>
    </row>
    <row r="187" spans="1:2">
      <c r="A187" t="s">
        <v>237</v>
      </c>
      <c r="B187">
        <v>0.255</v>
      </c>
    </row>
    <row r="188" spans="1:2">
      <c r="A188" t="s">
        <v>238</v>
      </c>
      <c r="B188">
        <v>0.23599999999999999</v>
      </c>
    </row>
    <row r="189" spans="1:2">
      <c r="A189" t="s">
        <v>239</v>
      </c>
      <c r="B189">
        <v>0.186</v>
      </c>
    </row>
    <row r="190" spans="1:2">
      <c r="A190" t="s">
        <v>240</v>
      </c>
      <c r="B190">
        <v>0.63500000000000001</v>
      </c>
    </row>
    <row r="191" spans="1:2">
      <c r="A191" t="s">
        <v>241</v>
      </c>
      <c r="B191">
        <v>0.51300000000000001</v>
      </c>
    </row>
    <row r="192" spans="1:2">
      <c r="A192" t="s">
        <v>242</v>
      </c>
      <c r="B192">
        <v>0.40100000000000002</v>
      </c>
    </row>
    <row r="193" spans="1:2">
      <c r="A193" t="s">
        <v>243</v>
      </c>
      <c r="B193">
        <v>0.37</v>
      </c>
    </row>
    <row r="194" spans="1:2">
      <c r="A194" t="s">
        <v>244</v>
      </c>
      <c r="B194">
        <v>0.35599999999999998</v>
      </c>
    </row>
    <row r="195" spans="1:2">
      <c r="A195" t="s">
        <v>245</v>
      </c>
      <c r="B195">
        <v>0.32700000000000001</v>
      </c>
    </row>
    <row r="196" spans="1:2">
      <c r="A196" t="s">
        <v>246</v>
      </c>
      <c r="B196">
        <v>0.26600000000000001</v>
      </c>
    </row>
    <row r="197" spans="1:2">
      <c r="A197" t="s">
        <v>247</v>
      </c>
      <c r="B197">
        <v>0.22700000000000001</v>
      </c>
    </row>
    <row r="198" spans="1:2">
      <c r="A198" t="s">
        <v>248</v>
      </c>
      <c r="B198">
        <v>0.28299999999999997</v>
      </c>
    </row>
    <row r="199" spans="1:2">
      <c r="A199" t="s">
        <v>249</v>
      </c>
      <c r="B199">
        <v>0.251</v>
      </c>
    </row>
    <row r="200" spans="1:2">
      <c r="A200" t="s">
        <v>250</v>
      </c>
      <c r="B200">
        <v>0.23499999999999999</v>
      </c>
    </row>
    <row r="201" spans="1:2">
      <c r="A201" t="s">
        <v>251</v>
      </c>
      <c r="B201">
        <v>0.184</v>
      </c>
    </row>
    <row r="202" spans="1:2">
      <c r="A202" t="s">
        <v>252</v>
      </c>
      <c r="B202">
        <v>0.28799999999999998</v>
      </c>
    </row>
    <row r="203" spans="1:2">
      <c r="A203" t="s">
        <v>253</v>
      </c>
      <c r="B203">
        <v>0.25600000000000001</v>
      </c>
    </row>
    <row r="204" spans="1:2">
      <c r="A204" t="s">
        <v>254</v>
      </c>
      <c r="B204">
        <v>0.23699999999999999</v>
      </c>
    </row>
    <row r="205" spans="1:2">
      <c r="A205" t="s">
        <v>255</v>
      </c>
      <c r="B205">
        <v>0.187</v>
      </c>
    </row>
    <row r="206" spans="1:2">
      <c r="A206" t="s">
        <v>256</v>
      </c>
      <c r="B206">
        <v>0.35199999999999998</v>
      </c>
    </row>
    <row r="207" spans="1:2">
      <c r="A207" t="s">
        <v>257</v>
      </c>
      <c r="B207">
        <v>0.32600000000000001</v>
      </c>
    </row>
    <row r="208" spans="1:2">
      <c r="A208" t="s">
        <v>258</v>
      </c>
      <c r="B208">
        <v>0.26600000000000001</v>
      </c>
    </row>
    <row r="209" spans="1:2">
      <c r="A209" t="s">
        <v>259</v>
      </c>
      <c r="B209">
        <v>0.22500000000000001</v>
      </c>
    </row>
    <row r="210" spans="1:2">
      <c r="A210" t="s">
        <v>260</v>
      </c>
      <c r="B210">
        <v>0.35799999999999998</v>
      </c>
    </row>
    <row r="211" spans="1:2">
      <c r="A211" t="s">
        <v>261</v>
      </c>
      <c r="B211">
        <v>0.32800000000000001</v>
      </c>
    </row>
    <row r="212" spans="1:2">
      <c r="A212" t="s">
        <v>262</v>
      </c>
      <c r="B212">
        <v>0.26700000000000002</v>
      </c>
    </row>
    <row r="213" spans="1:2">
      <c r="A213" t="s">
        <v>263</v>
      </c>
      <c r="B213">
        <v>0.22700000000000001</v>
      </c>
    </row>
    <row r="214" spans="1:2">
      <c r="A214" t="s">
        <v>264</v>
      </c>
      <c r="B214">
        <v>0.191</v>
      </c>
    </row>
    <row r="215" spans="1:2">
      <c r="A215" t="s">
        <v>265</v>
      </c>
      <c r="B215">
        <v>0.16300000000000001</v>
      </c>
    </row>
    <row r="216" spans="1:2">
      <c r="A216" t="s">
        <v>266</v>
      </c>
      <c r="B216">
        <v>0.14099999999999999</v>
      </c>
    </row>
    <row r="217" spans="1:2">
      <c r="A217" t="s">
        <v>267</v>
      </c>
      <c r="B217">
        <v>0.111</v>
      </c>
    </row>
    <row r="218" spans="1:2">
      <c r="A218" t="s">
        <v>268</v>
      </c>
      <c r="B218">
        <v>0.51200000000000001</v>
      </c>
    </row>
    <row r="219" spans="1:2">
      <c r="A219" t="s">
        <v>269</v>
      </c>
      <c r="B219">
        <v>0.40300000000000002</v>
      </c>
    </row>
    <row r="220" spans="1:2">
      <c r="A220" t="s">
        <v>270</v>
      </c>
      <c r="B220">
        <v>0.32200000000000001</v>
      </c>
    </row>
    <row r="221" spans="1:2">
      <c r="A221" t="s">
        <v>271</v>
      </c>
      <c r="B221">
        <v>0.29699999999999999</v>
      </c>
    </row>
    <row r="222" spans="1:2">
      <c r="A222" t="s">
        <v>272</v>
      </c>
      <c r="B222">
        <v>0.29299999999999998</v>
      </c>
    </row>
    <row r="223" spans="1:2">
      <c r="A223" t="s">
        <v>273</v>
      </c>
      <c r="B223">
        <v>0.26100000000000001</v>
      </c>
    </row>
    <row r="224" spans="1:2">
      <c r="A224" t="s">
        <v>274</v>
      </c>
      <c r="B224">
        <v>0.23899999999999999</v>
      </c>
    </row>
    <row r="225" spans="1:2">
      <c r="A225" t="s">
        <v>275</v>
      </c>
      <c r="B225">
        <v>0.189</v>
      </c>
    </row>
    <row r="226" spans="1:2">
      <c r="A226" t="s">
        <v>276</v>
      </c>
      <c r="B226">
        <v>0.10199999999999999</v>
      </c>
    </row>
    <row r="227" spans="1:2">
      <c r="A227" t="s">
        <v>277</v>
      </c>
      <c r="B227">
        <v>7.9000000000000001E-2</v>
      </c>
    </row>
    <row r="228" spans="1:2">
      <c r="A228" t="s">
        <v>278</v>
      </c>
      <c r="B228">
        <v>5.0999999999999997E-2</v>
      </c>
    </row>
    <row r="229" spans="1:2">
      <c r="A229" t="s">
        <v>279</v>
      </c>
      <c r="B229">
        <v>4.2000000000000003E-2</v>
      </c>
    </row>
    <row r="230" spans="1:2">
      <c r="A230" t="s">
        <v>280</v>
      </c>
      <c r="B230">
        <v>0.373</v>
      </c>
    </row>
    <row r="231" spans="1:2">
      <c r="A231" t="s">
        <v>281</v>
      </c>
      <c r="B231">
        <v>0.33200000000000002</v>
      </c>
    </row>
    <row r="232" spans="1:2">
      <c r="A232" t="s">
        <v>282</v>
      </c>
      <c r="B232">
        <v>0.27</v>
      </c>
    </row>
    <row r="233" spans="1:2">
      <c r="A233" t="s">
        <v>283</v>
      </c>
      <c r="B233">
        <v>0.23300000000000001</v>
      </c>
    </row>
    <row r="234" spans="1:2">
      <c r="A234" t="s">
        <v>284</v>
      </c>
      <c r="B234">
        <v>0.58899999999999997</v>
      </c>
    </row>
    <row r="235" spans="1:2">
      <c r="A235" t="s">
        <v>285</v>
      </c>
      <c r="B235">
        <v>0.47199999999999998</v>
      </c>
    </row>
    <row r="236" spans="1:2">
      <c r="A236" t="s">
        <v>286</v>
      </c>
      <c r="B236">
        <v>0.37</v>
      </c>
    </row>
    <row r="237" spans="1:2">
      <c r="A237" t="s">
        <v>287</v>
      </c>
      <c r="B237">
        <v>0.34200000000000003</v>
      </c>
    </row>
    <row r="238" spans="1:2">
      <c r="A238" t="s">
        <v>288</v>
      </c>
      <c r="B238">
        <v>0.29899999999999999</v>
      </c>
    </row>
    <row r="239" spans="1:2">
      <c r="A239" t="s">
        <v>289</v>
      </c>
      <c r="B239">
        <v>0.26600000000000001</v>
      </c>
    </row>
    <row r="240" spans="1:2">
      <c r="A240" t="s">
        <v>290</v>
      </c>
      <c r="B240">
        <v>0.24099999999999999</v>
      </c>
    </row>
    <row r="241" spans="1:2">
      <c r="A241" t="s">
        <v>291</v>
      </c>
      <c r="B241">
        <v>0.192</v>
      </c>
    </row>
    <row r="242" spans="1:2">
      <c r="A242" t="s">
        <v>292</v>
      </c>
      <c r="B242">
        <v>0.35799999999999998</v>
      </c>
    </row>
    <row r="243" spans="1:2">
      <c r="A243" t="s">
        <v>293</v>
      </c>
      <c r="B243">
        <v>0.32800000000000001</v>
      </c>
    </row>
    <row r="244" spans="1:2">
      <c r="A244" t="s">
        <v>294</v>
      </c>
      <c r="B244">
        <v>0.26700000000000002</v>
      </c>
    </row>
    <row r="245" spans="1:2">
      <c r="A245" t="s">
        <v>295</v>
      </c>
      <c r="B245">
        <v>0.22700000000000001</v>
      </c>
    </row>
    <row r="246" spans="1:2">
      <c r="A246" t="s">
        <v>296</v>
      </c>
      <c r="B246">
        <v>0.496</v>
      </c>
    </row>
    <row r="247" spans="1:2">
      <c r="A247" t="s">
        <v>297</v>
      </c>
      <c r="B247">
        <v>0.38900000000000001</v>
      </c>
    </row>
    <row r="248" spans="1:2">
      <c r="A248" t="s">
        <v>298</v>
      </c>
      <c r="B248">
        <v>0.312</v>
      </c>
    </row>
    <row r="249" spans="1:2">
      <c r="A249" t="s">
        <v>299</v>
      </c>
      <c r="B249">
        <v>0.28799999999999998</v>
      </c>
    </row>
    <row r="250" spans="1:2">
      <c r="A250" t="s">
        <v>300</v>
      </c>
      <c r="B250">
        <v>0.48199999999999998</v>
      </c>
    </row>
    <row r="251" spans="1:2">
      <c r="A251" t="s">
        <v>301</v>
      </c>
      <c r="B251">
        <v>0.377</v>
      </c>
    </row>
    <row r="252" spans="1:2">
      <c r="A252" t="s">
        <v>302</v>
      </c>
      <c r="B252">
        <v>0.30299999999999999</v>
      </c>
    </row>
    <row r="253" spans="1:2">
      <c r="A253" t="s">
        <v>303</v>
      </c>
      <c r="B253">
        <v>0.28000000000000003</v>
      </c>
    </row>
    <row r="254" spans="1:2">
      <c r="A254" t="s">
        <v>304</v>
      </c>
      <c r="B254">
        <v>0.307</v>
      </c>
    </row>
    <row r="255" spans="1:2">
      <c r="A255" t="s">
        <v>305</v>
      </c>
      <c r="B255">
        <v>0.27300000000000002</v>
      </c>
    </row>
    <row r="256" spans="1:2">
      <c r="A256" t="s">
        <v>306</v>
      </c>
      <c r="B256">
        <v>0.24399999999999999</v>
      </c>
    </row>
    <row r="257" spans="1:2">
      <c r="A257" t="s">
        <v>307</v>
      </c>
      <c r="B257">
        <v>0.19600000000000001</v>
      </c>
    </row>
    <row r="258" spans="1:2">
      <c r="A258" t="s">
        <v>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8"/>
  <sheetViews>
    <sheetView workbookViewId="0"/>
  </sheetViews>
  <sheetFormatPr defaultRowHeight="15"/>
  <sheetData>
    <row r="1" spans="1:2">
      <c r="A1" s="19" t="s">
        <v>50</v>
      </c>
      <c r="B1" s="19" t="s">
        <v>309</v>
      </c>
    </row>
    <row r="2" spans="1:2">
      <c r="A2" t="s">
        <v>52</v>
      </c>
      <c r="B2">
        <v>5.2999999999999999E-2</v>
      </c>
    </row>
    <row r="3" spans="1:2">
      <c r="A3" t="s">
        <v>53</v>
      </c>
      <c r="B3">
        <v>4.1000000000000002E-2</v>
      </c>
    </row>
    <row r="4" spans="1:2">
      <c r="A4" t="s">
        <v>54</v>
      </c>
      <c r="B4">
        <v>2.9000000000000001E-2</v>
      </c>
    </row>
    <row r="5" spans="1:2">
      <c r="A5" t="s">
        <v>55</v>
      </c>
      <c r="B5">
        <v>2.4E-2</v>
      </c>
    </row>
    <row r="6" spans="1:2">
      <c r="A6" t="s">
        <v>56</v>
      </c>
      <c r="B6">
        <v>4.2999999999999997E-2</v>
      </c>
    </row>
    <row r="7" spans="1:2">
      <c r="A7" t="s">
        <v>57</v>
      </c>
      <c r="B7">
        <v>3.3000000000000002E-2</v>
      </c>
    </row>
    <row r="8" spans="1:2">
      <c r="A8" t="s">
        <v>58</v>
      </c>
      <c r="B8">
        <v>2.3E-2</v>
      </c>
    </row>
    <row r="9" spans="1:2">
      <c r="A9" t="s">
        <v>59</v>
      </c>
      <c r="B9">
        <v>1.9E-2</v>
      </c>
    </row>
    <row r="10" spans="1:2">
      <c r="A10" t="s">
        <v>60</v>
      </c>
      <c r="B10">
        <v>8.9999999999999993E-3</v>
      </c>
    </row>
    <row r="11" spans="1:2">
      <c r="A11" t="s">
        <v>61</v>
      </c>
      <c r="B11">
        <v>7.0000000000000001E-3</v>
      </c>
    </row>
    <row r="12" spans="1:2">
      <c r="A12" t="s">
        <v>62</v>
      </c>
      <c r="B12">
        <v>5.0000000000000001E-3</v>
      </c>
    </row>
    <row r="13" spans="1:2">
      <c r="A13" t="s">
        <v>63</v>
      </c>
      <c r="B13">
        <v>4.0000000000000001E-3</v>
      </c>
    </row>
    <row r="14" spans="1:2">
      <c r="A14" t="s">
        <v>64</v>
      </c>
      <c r="B14">
        <v>2.9000000000000001E-2</v>
      </c>
    </row>
    <row r="15" spans="1:2">
      <c r="A15" t="s">
        <v>65</v>
      </c>
      <c r="B15">
        <v>2.3E-2</v>
      </c>
    </row>
    <row r="16" spans="1:2">
      <c r="A16" t="s">
        <v>66</v>
      </c>
      <c r="B16">
        <v>1.6E-2</v>
      </c>
    </row>
    <row r="17" spans="1:2">
      <c r="A17" t="s">
        <v>67</v>
      </c>
      <c r="B17">
        <v>1.2999999999999999E-2</v>
      </c>
    </row>
    <row r="18" spans="1:2">
      <c r="A18" t="s">
        <v>68</v>
      </c>
      <c r="B18">
        <v>4.2000000000000003E-2</v>
      </c>
    </row>
    <row r="19" spans="1:2">
      <c r="A19" t="s">
        <v>69</v>
      </c>
      <c r="B19">
        <v>3.3000000000000002E-2</v>
      </c>
    </row>
    <row r="20" spans="1:2">
      <c r="A20" t="s">
        <v>70</v>
      </c>
      <c r="B20">
        <v>2.3E-2</v>
      </c>
    </row>
    <row r="21" spans="1:2">
      <c r="A21" t="s">
        <v>71</v>
      </c>
      <c r="B21">
        <v>1.9E-2</v>
      </c>
    </row>
    <row r="22" spans="1:2">
      <c r="A22" t="s">
        <v>72</v>
      </c>
      <c r="B22">
        <v>1.4999999999999999E-2</v>
      </c>
    </row>
    <row r="23" spans="1:2">
      <c r="A23" t="s">
        <v>73</v>
      </c>
      <c r="B23">
        <v>1.2E-2</v>
      </c>
    </row>
    <row r="24" spans="1:2">
      <c r="A24" t="s">
        <v>74</v>
      </c>
      <c r="B24">
        <v>8.0000000000000002E-3</v>
      </c>
    </row>
    <row r="25" spans="1:2">
      <c r="A25" t="s">
        <v>75</v>
      </c>
      <c r="B25">
        <v>6.0000000000000001E-3</v>
      </c>
    </row>
    <row r="26" spans="1:2">
      <c r="A26" t="s">
        <v>76</v>
      </c>
      <c r="B26">
        <v>2.8000000000000001E-2</v>
      </c>
    </row>
    <row r="27" spans="1:2">
      <c r="A27" t="s">
        <v>77</v>
      </c>
      <c r="B27">
        <v>2.1999999999999999E-2</v>
      </c>
    </row>
    <row r="28" spans="1:2">
      <c r="A28" t="s">
        <v>78</v>
      </c>
      <c r="B28">
        <v>1.4999999999999999E-2</v>
      </c>
    </row>
    <row r="29" spans="1:2">
      <c r="A29" t="s">
        <v>79</v>
      </c>
      <c r="B29">
        <v>1.2E-2</v>
      </c>
    </row>
    <row r="30" spans="1:2">
      <c r="A30" t="s">
        <v>80</v>
      </c>
      <c r="B30">
        <v>0.03</v>
      </c>
    </row>
    <row r="31" spans="1:2">
      <c r="A31" t="s">
        <v>81</v>
      </c>
      <c r="B31">
        <v>2.3E-2</v>
      </c>
    </row>
    <row r="32" spans="1:2">
      <c r="A32" t="s">
        <v>82</v>
      </c>
      <c r="B32">
        <v>1.6E-2</v>
      </c>
    </row>
    <row r="33" spans="1:2">
      <c r="A33" t="s">
        <v>83</v>
      </c>
      <c r="B33">
        <v>1.2999999999999999E-2</v>
      </c>
    </row>
    <row r="34" spans="1:2">
      <c r="A34" t="s">
        <v>84</v>
      </c>
      <c r="B34">
        <v>1.2E-2</v>
      </c>
    </row>
    <row r="35" spans="1:2">
      <c r="A35" t="s">
        <v>85</v>
      </c>
      <c r="B35">
        <v>0.01</v>
      </c>
    </row>
    <row r="36" spans="1:2">
      <c r="A36" t="s">
        <v>86</v>
      </c>
      <c r="B36">
        <v>7.0000000000000001E-3</v>
      </c>
    </row>
    <row r="37" spans="1:2">
      <c r="A37" t="s">
        <v>87</v>
      </c>
      <c r="B37">
        <v>5.0000000000000001E-3</v>
      </c>
    </row>
    <row r="38" spans="1:2">
      <c r="A38" t="s">
        <v>88</v>
      </c>
      <c r="B38">
        <v>2.5000000000000001E-2</v>
      </c>
    </row>
    <row r="39" spans="1:2">
      <c r="A39" t="s">
        <v>89</v>
      </c>
      <c r="B39">
        <v>1.9E-2</v>
      </c>
    </row>
    <row r="40" spans="1:2">
      <c r="A40" t="s">
        <v>90</v>
      </c>
      <c r="B40">
        <v>1.2999999999999999E-2</v>
      </c>
    </row>
    <row r="41" spans="1:2">
      <c r="A41" t="s">
        <v>91</v>
      </c>
      <c r="B41">
        <v>1.0999999999999999E-2</v>
      </c>
    </row>
    <row r="42" spans="1:2">
      <c r="A42" t="s">
        <v>92</v>
      </c>
      <c r="B42">
        <v>2E-3</v>
      </c>
    </row>
    <row r="43" spans="1:2">
      <c r="A43" t="s">
        <v>93</v>
      </c>
      <c r="B43">
        <v>2E-3</v>
      </c>
    </row>
    <row r="44" spans="1:2">
      <c r="A44" t="s">
        <v>94</v>
      </c>
      <c r="B44">
        <v>1E-3</v>
      </c>
    </row>
    <row r="45" spans="1:2">
      <c r="A45" t="s">
        <v>95</v>
      </c>
      <c r="B45">
        <v>1E-3</v>
      </c>
    </row>
    <row r="46" spans="1:2">
      <c r="A46" t="s">
        <v>96</v>
      </c>
      <c r="B46">
        <v>2E-3</v>
      </c>
    </row>
    <row r="47" spans="1:2">
      <c r="A47" t="s">
        <v>97</v>
      </c>
      <c r="B47">
        <v>2E-3</v>
      </c>
    </row>
    <row r="48" spans="1:2">
      <c r="A48" t="s">
        <v>98</v>
      </c>
      <c r="B48">
        <v>1E-3</v>
      </c>
    </row>
    <row r="49" spans="1:2">
      <c r="A49" t="s">
        <v>99</v>
      </c>
      <c r="B49">
        <v>1E-3</v>
      </c>
    </row>
    <row r="50" spans="1:2">
      <c r="A50" t="s">
        <v>100</v>
      </c>
      <c r="B50">
        <v>2E-3</v>
      </c>
    </row>
    <row r="51" spans="1:2">
      <c r="A51" t="s">
        <v>101</v>
      </c>
      <c r="B51">
        <v>2E-3</v>
      </c>
    </row>
    <row r="52" spans="1:2">
      <c r="A52" t="s">
        <v>102</v>
      </c>
      <c r="B52">
        <v>1E-3</v>
      </c>
    </row>
    <row r="53" spans="1:2">
      <c r="A53" t="s">
        <v>103</v>
      </c>
      <c r="B53">
        <v>1E-3</v>
      </c>
    </row>
    <row r="54" spans="1:2">
      <c r="A54" t="s">
        <v>104</v>
      </c>
      <c r="B54">
        <v>4.2000000000000003E-2</v>
      </c>
    </row>
    <row r="55" spans="1:2">
      <c r="A55" t="s">
        <v>105</v>
      </c>
      <c r="B55">
        <v>2.9000000000000001E-2</v>
      </c>
    </row>
    <row r="56" spans="1:2">
      <c r="A56" t="s">
        <v>106</v>
      </c>
      <c r="B56">
        <v>2.7E-2</v>
      </c>
    </row>
    <row r="57" spans="1:2">
      <c r="A57" t="s">
        <v>107</v>
      </c>
      <c r="B57">
        <v>2.4E-2</v>
      </c>
    </row>
    <row r="58" spans="1:2">
      <c r="A58" t="s">
        <v>108</v>
      </c>
      <c r="B58">
        <v>4.2999999999999997E-2</v>
      </c>
    </row>
    <row r="59" spans="1:2">
      <c r="A59" t="s">
        <v>109</v>
      </c>
      <c r="B59">
        <v>3.5999999999999997E-2</v>
      </c>
    </row>
    <row r="60" spans="1:2">
      <c r="A60" t="s">
        <v>110</v>
      </c>
      <c r="B60">
        <v>0.02</v>
      </c>
    </row>
    <row r="61" spans="1:2">
      <c r="A61" t="s">
        <v>111</v>
      </c>
      <c r="B61">
        <v>1.7999999999999999E-2</v>
      </c>
    </row>
    <row r="62" spans="1:2">
      <c r="A62" t="s">
        <v>112</v>
      </c>
      <c r="B62">
        <v>6.3E-2</v>
      </c>
    </row>
    <row r="63" spans="1:2">
      <c r="A63" t="s">
        <v>113</v>
      </c>
      <c r="B63">
        <v>0.06</v>
      </c>
    </row>
    <row r="64" spans="1:2">
      <c r="A64" t="s">
        <v>114</v>
      </c>
      <c r="B64">
        <v>4.1000000000000002E-2</v>
      </c>
    </row>
    <row r="65" spans="1:2">
      <c r="A65" t="s">
        <v>115</v>
      </c>
      <c r="B65">
        <v>2.9000000000000001E-2</v>
      </c>
    </row>
    <row r="66" spans="1:2">
      <c r="A66" t="s">
        <v>116</v>
      </c>
      <c r="B66">
        <v>0.05</v>
      </c>
    </row>
    <row r="67" spans="1:2">
      <c r="A67" t="s">
        <v>117</v>
      </c>
      <c r="B67">
        <v>3.3000000000000002E-2</v>
      </c>
    </row>
    <row r="68" spans="1:2">
      <c r="A68" t="s">
        <v>118</v>
      </c>
      <c r="B68">
        <v>2.1999999999999999E-2</v>
      </c>
    </row>
    <row r="69" spans="1:2">
      <c r="A69" t="s">
        <v>119</v>
      </c>
      <c r="B69">
        <v>1.9E-2</v>
      </c>
    </row>
    <row r="70" spans="1:2">
      <c r="A70" t="s">
        <v>120</v>
      </c>
      <c r="B70">
        <v>0.14399999999999999</v>
      </c>
    </row>
    <row r="71" spans="1:2">
      <c r="A71" t="s">
        <v>121</v>
      </c>
      <c r="B71">
        <v>0.111</v>
      </c>
    </row>
    <row r="72" spans="1:2">
      <c r="A72" t="s">
        <v>122</v>
      </c>
      <c r="B72">
        <v>8.1000000000000003E-2</v>
      </c>
    </row>
    <row r="73" spans="1:2">
      <c r="A73" t="s">
        <v>123</v>
      </c>
      <c r="B73">
        <v>6.6000000000000003E-2</v>
      </c>
    </row>
    <row r="74" spans="1:2">
      <c r="A74" t="s">
        <v>124</v>
      </c>
      <c r="B74">
        <v>1.2999999999999999E-2</v>
      </c>
    </row>
    <row r="75" spans="1:2">
      <c r="A75" t="s">
        <v>125</v>
      </c>
      <c r="B75">
        <v>0.01</v>
      </c>
    </row>
    <row r="76" spans="1:2">
      <c r="A76" t="s">
        <v>126</v>
      </c>
      <c r="B76">
        <v>7.0000000000000001E-3</v>
      </c>
    </row>
    <row r="77" spans="1:2">
      <c r="A77" t="s">
        <v>127</v>
      </c>
      <c r="B77">
        <v>6.0000000000000001E-3</v>
      </c>
    </row>
    <row r="78" spans="1:2">
      <c r="A78" t="s">
        <v>128</v>
      </c>
      <c r="B78">
        <v>0.123</v>
      </c>
    </row>
    <row r="79" spans="1:2">
      <c r="A79" t="s">
        <v>129</v>
      </c>
      <c r="B79">
        <v>9.5000000000000001E-2</v>
      </c>
    </row>
    <row r="80" spans="1:2">
      <c r="A80" t="s">
        <v>130</v>
      </c>
      <c r="B80">
        <v>6.9000000000000006E-2</v>
      </c>
    </row>
    <row r="81" spans="1:2">
      <c r="A81" t="s">
        <v>131</v>
      </c>
      <c r="B81">
        <v>5.7000000000000002E-2</v>
      </c>
    </row>
    <row r="82" spans="1:2">
      <c r="A82" t="s">
        <v>132</v>
      </c>
      <c r="B82">
        <v>0.129</v>
      </c>
    </row>
    <row r="83" spans="1:2">
      <c r="A83" t="s">
        <v>133</v>
      </c>
      <c r="B83">
        <v>9.9000000000000005E-2</v>
      </c>
    </row>
    <row r="84" spans="1:2">
      <c r="A84" t="s">
        <v>134</v>
      </c>
      <c r="B84">
        <v>7.1999999999999995E-2</v>
      </c>
    </row>
    <row r="85" spans="1:2">
      <c r="A85" t="s">
        <v>135</v>
      </c>
      <c r="B85">
        <v>5.8999999999999997E-2</v>
      </c>
    </row>
    <row r="86" spans="1:2">
      <c r="A86" t="s">
        <v>136</v>
      </c>
      <c r="B86">
        <v>4.9000000000000002E-2</v>
      </c>
    </row>
    <row r="87" spans="1:2">
      <c r="A87" t="s">
        <v>137</v>
      </c>
      <c r="B87">
        <v>3.7999999999999999E-2</v>
      </c>
    </row>
    <row r="88" spans="1:2">
      <c r="A88" t="s">
        <v>138</v>
      </c>
      <c r="B88">
        <v>2.7E-2</v>
      </c>
    </row>
    <row r="89" spans="1:2">
      <c r="A89" t="s">
        <v>139</v>
      </c>
      <c r="B89">
        <v>2.3E-2</v>
      </c>
    </row>
    <row r="90" spans="1:2">
      <c r="A90" t="s">
        <v>140</v>
      </c>
      <c r="B90">
        <v>5.6000000000000001E-2</v>
      </c>
    </row>
    <row r="91" spans="1:2">
      <c r="A91" t="s">
        <v>141</v>
      </c>
      <c r="B91">
        <v>4.2999999999999997E-2</v>
      </c>
    </row>
    <row r="92" spans="1:2">
      <c r="A92" t="s">
        <v>142</v>
      </c>
      <c r="B92">
        <v>3.1E-2</v>
      </c>
    </row>
    <row r="93" spans="1:2">
      <c r="A93" t="s">
        <v>143</v>
      </c>
      <c r="B93">
        <v>2.5999999999999999E-2</v>
      </c>
    </row>
    <row r="94" spans="1:2">
      <c r="A94" t="s">
        <v>144</v>
      </c>
      <c r="B94">
        <v>7.1999999999999995E-2</v>
      </c>
    </row>
    <row r="95" spans="1:2">
      <c r="A95" t="s">
        <v>145</v>
      </c>
      <c r="B95">
        <v>5.5E-2</v>
      </c>
    </row>
    <row r="96" spans="1:2">
      <c r="A96" t="s">
        <v>146</v>
      </c>
      <c r="B96">
        <v>0.04</v>
      </c>
    </row>
    <row r="97" spans="1:2">
      <c r="A97" t="s">
        <v>147</v>
      </c>
      <c r="B97">
        <v>3.3000000000000002E-2</v>
      </c>
    </row>
    <row r="98" spans="1:2">
      <c r="A98" t="s">
        <v>148</v>
      </c>
      <c r="B98">
        <v>0.21099999999999999</v>
      </c>
    </row>
    <row r="99" spans="1:2">
      <c r="A99" t="s">
        <v>149</v>
      </c>
      <c r="B99">
        <v>0.16200000000000001</v>
      </c>
    </row>
    <row r="100" spans="1:2">
      <c r="A100" t="s">
        <v>150</v>
      </c>
      <c r="B100">
        <v>0.11799999999999999</v>
      </c>
    </row>
    <row r="101" spans="1:2">
      <c r="A101" t="s">
        <v>151</v>
      </c>
      <c r="B101">
        <v>9.7000000000000003E-2</v>
      </c>
    </row>
    <row r="102" spans="1:2">
      <c r="A102" t="s">
        <v>152</v>
      </c>
      <c r="B102">
        <v>0.13900000000000001</v>
      </c>
    </row>
    <row r="103" spans="1:2">
      <c r="A103" t="s">
        <v>153</v>
      </c>
      <c r="B103">
        <v>0.107</v>
      </c>
    </row>
    <row r="104" spans="1:2">
      <c r="A104" t="s">
        <v>154</v>
      </c>
      <c r="B104">
        <v>7.8E-2</v>
      </c>
    </row>
    <row r="105" spans="1:2">
      <c r="A105" t="s">
        <v>155</v>
      </c>
      <c r="B105">
        <v>6.4000000000000001E-2</v>
      </c>
    </row>
    <row r="106" spans="1:2">
      <c r="A106" t="s">
        <v>156</v>
      </c>
      <c r="B106">
        <v>0.191</v>
      </c>
    </row>
    <row r="107" spans="1:2">
      <c r="A107" t="s">
        <v>157</v>
      </c>
      <c r="B107">
        <v>0.14699999999999999</v>
      </c>
    </row>
    <row r="108" spans="1:2">
      <c r="A108" t="s">
        <v>158</v>
      </c>
      <c r="B108">
        <v>0.107</v>
      </c>
    </row>
    <row r="109" spans="1:2">
      <c r="A109" t="s">
        <v>159</v>
      </c>
      <c r="B109">
        <v>8.7999999999999995E-2</v>
      </c>
    </row>
    <row r="110" spans="1:2">
      <c r="A110" t="s">
        <v>160</v>
      </c>
      <c r="B110">
        <v>4.5999999999999999E-2</v>
      </c>
    </row>
    <row r="111" spans="1:2">
      <c r="A111" t="s">
        <v>161</v>
      </c>
      <c r="B111">
        <v>3.5000000000000003E-2</v>
      </c>
    </row>
    <row r="112" spans="1:2">
      <c r="A112" t="s">
        <v>162</v>
      </c>
      <c r="B112">
        <v>2.5999999999999999E-2</v>
      </c>
    </row>
    <row r="113" spans="1:2">
      <c r="A113" t="s">
        <v>163</v>
      </c>
      <c r="B113">
        <v>2.1000000000000001E-2</v>
      </c>
    </row>
    <row r="114" spans="1:2">
      <c r="A114" t="s">
        <v>164</v>
      </c>
      <c r="B114">
        <v>8.3000000000000004E-2</v>
      </c>
    </row>
    <row r="115" spans="1:2">
      <c r="A115" t="s">
        <v>165</v>
      </c>
      <c r="B115">
        <v>6.4000000000000001E-2</v>
      </c>
    </row>
    <row r="116" spans="1:2">
      <c r="A116" t="s">
        <v>166</v>
      </c>
      <c r="B116">
        <v>4.5999999999999999E-2</v>
      </c>
    </row>
    <row r="117" spans="1:2">
      <c r="A117" t="s">
        <v>167</v>
      </c>
      <c r="B117">
        <v>3.7999999999999999E-2</v>
      </c>
    </row>
    <row r="118" spans="1:2">
      <c r="A118" t="s">
        <v>168</v>
      </c>
      <c r="B118">
        <v>7.6999999999999999E-2</v>
      </c>
    </row>
    <row r="119" spans="1:2">
      <c r="A119" t="s">
        <v>169</v>
      </c>
      <c r="B119">
        <v>5.8999999999999997E-2</v>
      </c>
    </row>
    <row r="120" spans="1:2">
      <c r="A120" t="s">
        <v>170</v>
      </c>
      <c r="B120">
        <v>4.2999999999999997E-2</v>
      </c>
    </row>
    <row r="121" spans="1:2">
      <c r="A121" t="s">
        <v>171</v>
      </c>
      <c r="B121">
        <v>3.5000000000000003E-2</v>
      </c>
    </row>
    <row r="122" spans="1:2">
      <c r="A122" t="s">
        <v>172</v>
      </c>
      <c r="B122">
        <v>7.3999999999999996E-2</v>
      </c>
    </row>
    <row r="123" spans="1:2">
      <c r="A123" t="s">
        <v>173</v>
      </c>
      <c r="B123">
        <v>5.7000000000000002E-2</v>
      </c>
    </row>
    <row r="124" spans="1:2">
      <c r="A124" t="s">
        <v>174</v>
      </c>
      <c r="B124">
        <v>4.1000000000000002E-2</v>
      </c>
    </row>
    <row r="125" spans="1:2">
      <c r="A125" t="s">
        <v>175</v>
      </c>
      <c r="B125">
        <v>3.4000000000000002E-2</v>
      </c>
    </row>
    <row r="126" spans="1:2">
      <c r="A126" t="s">
        <v>176</v>
      </c>
      <c r="B126">
        <v>9.5000000000000001E-2</v>
      </c>
    </row>
    <row r="127" spans="1:2">
      <c r="A127" t="s">
        <v>177</v>
      </c>
      <c r="B127">
        <v>7.2999999999999995E-2</v>
      </c>
    </row>
    <row r="128" spans="1:2">
      <c r="A128" t="s">
        <v>178</v>
      </c>
      <c r="B128">
        <v>5.2999999999999999E-2</v>
      </c>
    </row>
    <row r="129" spans="1:2">
      <c r="A129" t="s">
        <v>179</v>
      </c>
      <c r="B129">
        <v>4.3999999999999997E-2</v>
      </c>
    </row>
    <row r="130" spans="1:2">
      <c r="A130" t="s">
        <v>180</v>
      </c>
      <c r="B130">
        <v>9.9000000000000005E-2</v>
      </c>
    </row>
    <row r="131" spans="1:2">
      <c r="A131" t="s">
        <v>181</v>
      </c>
      <c r="B131">
        <v>7.5999999999999998E-2</v>
      </c>
    </row>
    <row r="132" spans="1:2">
      <c r="A132" t="s">
        <v>182</v>
      </c>
      <c r="B132">
        <v>5.5E-2</v>
      </c>
    </row>
    <row r="133" spans="1:2">
      <c r="A133" t="s">
        <v>183</v>
      </c>
      <c r="B133">
        <v>4.5999999999999999E-2</v>
      </c>
    </row>
    <row r="134" spans="1:2">
      <c r="A134" t="s">
        <v>184</v>
      </c>
      <c r="B134">
        <v>0.17100000000000001</v>
      </c>
    </row>
    <row r="135" spans="1:2">
      <c r="A135" t="s">
        <v>185</v>
      </c>
      <c r="B135">
        <v>0.13200000000000001</v>
      </c>
    </row>
    <row r="136" spans="1:2">
      <c r="A136" t="s">
        <v>186</v>
      </c>
      <c r="B136">
        <v>9.6000000000000002E-2</v>
      </c>
    </row>
    <row r="137" spans="1:2">
      <c r="A137" t="s">
        <v>187</v>
      </c>
      <c r="B137">
        <v>7.9000000000000001E-2</v>
      </c>
    </row>
    <row r="138" spans="1:2">
      <c r="A138" t="s">
        <v>188</v>
      </c>
      <c r="B138">
        <v>4.1000000000000002E-2</v>
      </c>
    </row>
    <row r="139" spans="1:2">
      <c r="A139" t="s">
        <v>189</v>
      </c>
      <c r="B139">
        <v>3.2000000000000001E-2</v>
      </c>
    </row>
    <row r="140" spans="1:2">
      <c r="A140" t="s">
        <v>190</v>
      </c>
      <c r="B140">
        <v>2.3E-2</v>
      </c>
    </row>
    <row r="141" spans="1:2">
      <c r="A141" t="s">
        <v>191</v>
      </c>
      <c r="B141">
        <v>1.9E-2</v>
      </c>
    </row>
    <row r="142" spans="1:2">
      <c r="A142" t="s">
        <v>192</v>
      </c>
      <c r="B142">
        <v>8.1000000000000003E-2</v>
      </c>
    </row>
    <row r="143" spans="1:2">
      <c r="A143" t="s">
        <v>193</v>
      </c>
      <c r="B143">
        <v>6.2E-2</v>
      </c>
    </row>
    <row r="144" spans="1:2">
      <c r="A144" t="s">
        <v>194</v>
      </c>
      <c r="B144">
        <v>4.4999999999999998E-2</v>
      </c>
    </row>
    <row r="145" spans="1:2">
      <c r="A145" t="s">
        <v>195</v>
      </c>
      <c r="B145">
        <v>3.6999999999999998E-2</v>
      </c>
    </row>
    <row r="146" spans="1:2">
      <c r="A146" t="s">
        <v>196</v>
      </c>
      <c r="B146">
        <v>5.5E-2</v>
      </c>
    </row>
    <row r="147" spans="1:2">
      <c r="A147" t="s">
        <v>197</v>
      </c>
      <c r="B147">
        <v>4.2000000000000003E-2</v>
      </c>
    </row>
    <row r="148" spans="1:2">
      <c r="A148" t="s">
        <v>198</v>
      </c>
      <c r="B148">
        <v>3.1E-2</v>
      </c>
    </row>
    <row r="149" spans="1:2">
      <c r="A149" t="s">
        <v>199</v>
      </c>
      <c r="B149">
        <v>2.5000000000000001E-2</v>
      </c>
    </row>
    <row r="150" spans="1:2">
      <c r="A150" t="s">
        <v>200</v>
      </c>
      <c r="B150">
        <v>5.3999999999999999E-2</v>
      </c>
    </row>
    <row r="151" spans="1:2">
      <c r="A151" t="s">
        <v>201</v>
      </c>
      <c r="B151">
        <v>4.2000000000000003E-2</v>
      </c>
    </row>
    <row r="152" spans="1:2">
      <c r="A152" t="s">
        <v>202</v>
      </c>
      <c r="B152">
        <v>0.03</v>
      </c>
    </row>
    <row r="153" spans="1:2">
      <c r="A153" t="s">
        <v>203</v>
      </c>
      <c r="B153">
        <v>2.5000000000000001E-2</v>
      </c>
    </row>
    <row r="154" spans="1:2">
      <c r="A154" t="s">
        <v>204</v>
      </c>
      <c r="B154">
        <v>0.151</v>
      </c>
    </row>
    <row r="155" spans="1:2">
      <c r="A155" t="s">
        <v>205</v>
      </c>
      <c r="B155">
        <v>0.11600000000000001</v>
      </c>
    </row>
    <row r="156" spans="1:2">
      <c r="A156" t="s">
        <v>206</v>
      </c>
      <c r="B156">
        <v>8.5000000000000006E-2</v>
      </c>
    </row>
    <row r="157" spans="1:2">
      <c r="A157" t="s">
        <v>207</v>
      </c>
      <c r="B157">
        <v>6.9000000000000006E-2</v>
      </c>
    </row>
    <row r="158" spans="1:2">
      <c r="A158" t="s">
        <v>208</v>
      </c>
      <c r="B158">
        <v>9.8000000000000004E-2</v>
      </c>
    </row>
    <row r="159" spans="1:2">
      <c r="A159" t="s">
        <v>209</v>
      </c>
      <c r="B159">
        <v>7.4999999999999997E-2</v>
      </c>
    </row>
    <row r="160" spans="1:2">
      <c r="A160" t="s">
        <v>210</v>
      </c>
      <c r="B160">
        <v>5.5E-2</v>
      </c>
    </row>
    <row r="161" spans="1:2">
      <c r="A161" t="s">
        <v>211</v>
      </c>
      <c r="B161">
        <v>4.4999999999999998E-2</v>
      </c>
    </row>
    <row r="162" spans="1:2">
      <c r="A162" t="s">
        <v>212</v>
      </c>
      <c r="B162">
        <v>3.1E-2</v>
      </c>
    </row>
    <row r="163" spans="1:2">
      <c r="A163" t="s">
        <v>213</v>
      </c>
      <c r="B163">
        <v>2.4E-2</v>
      </c>
    </row>
    <row r="164" spans="1:2">
      <c r="A164" t="s">
        <v>214</v>
      </c>
      <c r="B164">
        <v>1.7000000000000001E-2</v>
      </c>
    </row>
    <row r="165" spans="1:2">
      <c r="A165" t="s">
        <v>215</v>
      </c>
      <c r="B165">
        <v>1.4E-2</v>
      </c>
    </row>
    <row r="166" spans="1:2">
      <c r="A166" t="s">
        <v>216</v>
      </c>
      <c r="B166">
        <v>8.5999999999999993E-2</v>
      </c>
    </row>
    <row r="167" spans="1:2">
      <c r="A167" t="s">
        <v>217</v>
      </c>
      <c r="B167">
        <v>6.6000000000000003E-2</v>
      </c>
    </row>
    <row r="168" spans="1:2">
      <c r="A168" t="s">
        <v>218</v>
      </c>
      <c r="B168">
        <v>4.8000000000000001E-2</v>
      </c>
    </row>
    <row r="169" spans="1:2">
      <c r="A169" t="s">
        <v>219</v>
      </c>
      <c r="B169">
        <v>0.04</v>
      </c>
    </row>
    <row r="170" spans="1:2">
      <c r="A170" t="s">
        <v>220</v>
      </c>
      <c r="B170">
        <v>7.6999999999999999E-2</v>
      </c>
    </row>
    <row r="171" spans="1:2">
      <c r="A171" t="s">
        <v>221</v>
      </c>
      <c r="B171">
        <v>5.8999999999999997E-2</v>
      </c>
    </row>
    <row r="172" spans="1:2">
      <c r="A172" t="s">
        <v>222</v>
      </c>
      <c r="B172">
        <v>4.2999999999999997E-2</v>
      </c>
    </row>
    <row r="173" spans="1:2">
      <c r="A173" t="s">
        <v>223</v>
      </c>
      <c r="B173">
        <v>3.5000000000000003E-2</v>
      </c>
    </row>
    <row r="174" spans="1:2">
      <c r="A174" t="s">
        <v>224</v>
      </c>
      <c r="B174">
        <v>4.3999999999999997E-2</v>
      </c>
    </row>
    <row r="175" spans="1:2">
      <c r="A175" t="s">
        <v>225</v>
      </c>
      <c r="B175">
        <v>3.4000000000000002E-2</v>
      </c>
    </row>
    <row r="176" spans="1:2">
      <c r="A176" t="s">
        <v>226</v>
      </c>
      <c r="B176">
        <v>2.5000000000000001E-2</v>
      </c>
    </row>
    <row r="177" spans="1:2">
      <c r="A177" t="s">
        <v>227</v>
      </c>
      <c r="B177">
        <v>0.02</v>
      </c>
    </row>
    <row r="178" spans="1:2">
      <c r="A178" t="s">
        <v>228</v>
      </c>
      <c r="B178">
        <v>6.5000000000000002E-2</v>
      </c>
    </row>
    <row r="179" spans="1:2">
      <c r="A179" t="s">
        <v>229</v>
      </c>
      <c r="B179">
        <v>0.05</v>
      </c>
    </row>
    <row r="180" spans="1:2">
      <c r="A180" t="s">
        <v>230</v>
      </c>
      <c r="B180">
        <v>3.5999999999999997E-2</v>
      </c>
    </row>
    <row r="181" spans="1:2">
      <c r="A181" t="s">
        <v>231</v>
      </c>
      <c r="B181">
        <v>0.03</v>
      </c>
    </row>
    <row r="182" spans="1:2">
      <c r="A182" t="s">
        <v>232</v>
      </c>
      <c r="B182">
        <v>5.5E-2</v>
      </c>
    </row>
    <row r="183" spans="1:2">
      <c r="A183" t="s">
        <v>233</v>
      </c>
      <c r="B183">
        <v>4.2000000000000003E-2</v>
      </c>
    </row>
    <row r="184" spans="1:2">
      <c r="A184" t="s">
        <v>234</v>
      </c>
      <c r="B184">
        <v>3.1E-2</v>
      </c>
    </row>
    <row r="185" spans="1:2">
      <c r="A185" t="s">
        <v>235</v>
      </c>
      <c r="B185">
        <v>2.5000000000000001E-2</v>
      </c>
    </row>
    <row r="186" spans="1:2">
      <c r="A186" t="s">
        <v>236</v>
      </c>
      <c r="B186">
        <v>0.114</v>
      </c>
    </row>
    <row r="187" spans="1:2">
      <c r="A187" t="s">
        <v>237</v>
      </c>
      <c r="B187">
        <v>8.7999999999999995E-2</v>
      </c>
    </row>
    <row r="188" spans="1:2">
      <c r="A188" t="s">
        <v>238</v>
      </c>
      <c r="B188">
        <v>6.4000000000000001E-2</v>
      </c>
    </row>
    <row r="189" spans="1:2">
      <c r="A189" t="s">
        <v>239</v>
      </c>
      <c r="B189">
        <v>5.1999999999999998E-2</v>
      </c>
    </row>
    <row r="190" spans="1:2">
      <c r="A190" t="s">
        <v>240</v>
      </c>
      <c r="B190">
        <v>4.3999999999999997E-2</v>
      </c>
    </row>
    <row r="191" spans="1:2">
      <c r="A191" t="s">
        <v>241</v>
      </c>
      <c r="B191">
        <v>3.4000000000000002E-2</v>
      </c>
    </row>
    <row r="192" spans="1:2">
      <c r="A192" t="s">
        <v>242</v>
      </c>
      <c r="B192">
        <v>2.5000000000000001E-2</v>
      </c>
    </row>
    <row r="193" spans="1:2">
      <c r="A193" t="s">
        <v>243</v>
      </c>
      <c r="B193">
        <v>0.02</v>
      </c>
    </row>
    <row r="194" spans="1:2">
      <c r="A194" t="s">
        <v>244</v>
      </c>
      <c r="B194">
        <v>7.2999999999999995E-2</v>
      </c>
    </row>
    <row r="195" spans="1:2">
      <c r="A195" t="s">
        <v>245</v>
      </c>
      <c r="B195">
        <v>5.6000000000000001E-2</v>
      </c>
    </row>
    <row r="196" spans="1:2">
      <c r="A196" t="s">
        <v>246</v>
      </c>
      <c r="B196">
        <v>4.1000000000000002E-2</v>
      </c>
    </row>
    <row r="197" spans="1:2">
      <c r="A197" t="s">
        <v>247</v>
      </c>
      <c r="B197">
        <v>3.4000000000000002E-2</v>
      </c>
    </row>
    <row r="198" spans="1:2">
      <c r="A198" t="s">
        <v>248</v>
      </c>
      <c r="B198">
        <v>0.13900000000000001</v>
      </c>
    </row>
    <row r="199" spans="1:2">
      <c r="A199" t="s">
        <v>249</v>
      </c>
      <c r="B199">
        <v>0.107</v>
      </c>
    </row>
    <row r="200" spans="1:2">
      <c r="A200" t="s">
        <v>250</v>
      </c>
      <c r="B200">
        <v>7.8E-2</v>
      </c>
    </row>
    <row r="201" spans="1:2">
      <c r="A201" t="s">
        <v>251</v>
      </c>
      <c r="B201">
        <v>6.4000000000000001E-2</v>
      </c>
    </row>
    <row r="202" spans="1:2">
      <c r="A202" t="s">
        <v>252</v>
      </c>
      <c r="B202">
        <v>5.2999999999999999E-2</v>
      </c>
    </row>
    <row r="203" spans="1:2">
      <c r="A203" t="s">
        <v>253</v>
      </c>
      <c r="B203">
        <v>4.1000000000000002E-2</v>
      </c>
    </row>
    <row r="204" spans="1:2">
      <c r="A204" t="s">
        <v>254</v>
      </c>
      <c r="B204">
        <v>0.03</v>
      </c>
    </row>
    <row r="205" spans="1:2">
      <c r="A205" t="s">
        <v>255</v>
      </c>
      <c r="B205">
        <v>2.4E-2</v>
      </c>
    </row>
    <row r="206" spans="1:2">
      <c r="A206" t="s">
        <v>256</v>
      </c>
      <c r="B206">
        <v>6.8000000000000005E-2</v>
      </c>
    </row>
    <row r="207" spans="1:2">
      <c r="A207" t="s">
        <v>257</v>
      </c>
      <c r="B207">
        <v>5.1999999999999998E-2</v>
      </c>
    </row>
    <row r="208" spans="1:2">
      <c r="A208" t="s">
        <v>258</v>
      </c>
      <c r="B208">
        <v>3.7999999999999999E-2</v>
      </c>
    </row>
    <row r="209" spans="1:2">
      <c r="A209" t="s">
        <v>259</v>
      </c>
      <c r="B209">
        <v>3.1E-2</v>
      </c>
    </row>
    <row r="210" spans="1:2">
      <c r="A210" t="s">
        <v>260</v>
      </c>
      <c r="B210">
        <v>5.2999999999999999E-2</v>
      </c>
    </row>
    <row r="211" spans="1:2">
      <c r="A211" t="s">
        <v>261</v>
      </c>
      <c r="B211">
        <v>4.1000000000000002E-2</v>
      </c>
    </row>
    <row r="212" spans="1:2">
      <c r="A212" t="s">
        <v>262</v>
      </c>
      <c r="B212">
        <v>0.03</v>
      </c>
    </row>
    <row r="213" spans="1:2">
      <c r="A213" t="s">
        <v>263</v>
      </c>
      <c r="B213">
        <v>2.4E-2</v>
      </c>
    </row>
    <row r="214" spans="1:2">
      <c r="A214" t="s">
        <v>264</v>
      </c>
      <c r="B214">
        <v>0.13200000000000001</v>
      </c>
    </row>
    <row r="215" spans="1:2">
      <c r="A215" t="s">
        <v>265</v>
      </c>
      <c r="B215">
        <v>0.10199999999999999</v>
      </c>
    </row>
    <row r="216" spans="1:2">
      <c r="A216" t="s">
        <v>266</v>
      </c>
      <c r="B216">
        <v>7.3999999999999996E-2</v>
      </c>
    </row>
    <row r="217" spans="1:2">
      <c r="A217" t="s">
        <v>267</v>
      </c>
      <c r="B217">
        <v>6.0999999999999999E-2</v>
      </c>
    </row>
    <row r="218" spans="1:2">
      <c r="A218" t="s">
        <v>268</v>
      </c>
      <c r="B218">
        <v>0.05</v>
      </c>
    </row>
    <row r="219" spans="1:2">
      <c r="A219" t="s">
        <v>269</v>
      </c>
      <c r="B219">
        <v>3.9E-2</v>
      </c>
    </row>
    <row r="220" spans="1:2">
      <c r="A220" t="s">
        <v>270</v>
      </c>
      <c r="B220">
        <v>2.8000000000000001E-2</v>
      </c>
    </row>
    <row r="221" spans="1:2">
      <c r="A221" t="s">
        <v>271</v>
      </c>
      <c r="B221">
        <v>2.3E-2</v>
      </c>
    </row>
    <row r="222" spans="1:2">
      <c r="A222" t="s">
        <v>272</v>
      </c>
      <c r="B222">
        <v>0.111</v>
      </c>
    </row>
    <row r="223" spans="1:2">
      <c r="A223" t="s">
        <v>273</v>
      </c>
      <c r="B223">
        <v>8.5000000000000006E-2</v>
      </c>
    </row>
    <row r="224" spans="1:2">
      <c r="A224" t="s">
        <v>274</v>
      </c>
      <c r="B224">
        <v>6.2E-2</v>
      </c>
    </row>
    <row r="225" spans="1:2">
      <c r="A225" t="s">
        <v>275</v>
      </c>
      <c r="B225">
        <v>5.0999999999999997E-2</v>
      </c>
    </row>
    <row r="226" spans="1:2">
      <c r="A226" t="s">
        <v>276</v>
      </c>
      <c r="B226">
        <v>0.16700000000000001</v>
      </c>
    </row>
    <row r="227" spans="1:2">
      <c r="A227" t="s">
        <v>277</v>
      </c>
      <c r="B227">
        <v>0.129</v>
      </c>
    </row>
    <row r="228" spans="1:2">
      <c r="A228" t="s">
        <v>278</v>
      </c>
      <c r="B228">
        <v>9.4E-2</v>
      </c>
    </row>
    <row r="229" spans="1:2">
      <c r="A229" t="s">
        <v>279</v>
      </c>
      <c r="B229">
        <v>7.6999999999999999E-2</v>
      </c>
    </row>
    <row r="230" spans="1:2">
      <c r="A230" t="s">
        <v>280</v>
      </c>
      <c r="B230">
        <v>5.5E-2</v>
      </c>
    </row>
    <row r="231" spans="1:2">
      <c r="A231" t="s">
        <v>281</v>
      </c>
      <c r="B231">
        <v>4.2000000000000003E-2</v>
      </c>
    </row>
    <row r="232" spans="1:2">
      <c r="A232" t="s">
        <v>282</v>
      </c>
      <c r="B232">
        <v>3.1E-2</v>
      </c>
    </row>
    <row r="233" spans="1:2">
      <c r="A233" t="s">
        <v>283</v>
      </c>
      <c r="B233">
        <v>2.5000000000000001E-2</v>
      </c>
    </row>
    <row r="234" spans="1:2">
      <c r="A234" t="s">
        <v>284</v>
      </c>
      <c r="B234">
        <v>3.6999999999999998E-2</v>
      </c>
    </row>
    <row r="235" spans="1:2">
      <c r="A235" t="s">
        <v>285</v>
      </c>
      <c r="B235">
        <v>2.8000000000000001E-2</v>
      </c>
    </row>
    <row r="236" spans="1:2">
      <c r="A236" t="s">
        <v>286</v>
      </c>
      <c r="B236">
        <v>2.1000000000000001E-2</v>
      </c>
    </row>
    <row r="237" spans="1:2">
      <c r="A237" t="s">
        <v>287</v>
      </c>
      <c r="B237">
        <v>1.7000000000000001E-2</v>
      </c>
    </row>
    <row r="238" spans="1:2">
      <c r="A238" t="s">
        <v>288</v>
      </c>
      <c r="B238">
        <v>9.8000000000000004E-2</v>
      </c>
    </row>
    <row r="239" spans="1:2">
      <c r="A239" t="s">
        <v>289</v>
      </c>
      <c r="B239">
        <v>7.4999999999999997E-2</v>
      </c>
    </row>
    <row r="240" spans="1:2">
      <c r="A240" t="s">
        <v>290</v>
      </c>
      <c r="B240">
        <v>5.5E-2</v>
      </c>
    </row>
    <row r="241" spans="1:2">
      <c r="A241" t="s">
        <v>291</v>
      </c>
      <c r="B241">
        <v>4.4999999999999998E-2</v>
      </c>
    </row>
    <row r="242" spans="1:2">
      <c r="A242" t="s">
        <v>292</v>
      </c>
      <c r="B242">
        <v>7.0999999999999994E-2</v>
      </c>
    </row>
    <row r="243" spans="1:2">
      <c r="A243" t="s">
        <v>293</v>
      </c>
      <c r="B243">
        <v>5.5E-2</v>
      </c>
    </row>
    <row r="244" spans="1:2">
      <c r="A244" t="s">
        <v>294</v>
      </c>
      <c r="B244">
        <v>0.04</v>
      </c>
    </row>
    <row r="245" spans="1:2">
      <c r="A245" t="s">
        <v>295</v>
      </c>
      <c r="B245">
        <v>3.3000000000000002E-2</v>
      </c>
    </row>
    <row r="246" spans="1:2">
      <c r="A246" t="s">
        <v>296</v>
      </c>
      <c r="B246">
        <v>5.8999999999999997E-2</v>
      </c>
    </row>
    <row r="247" spans="1:2">
      <c r="A247" t="s">
        <v>297</v>
      </c>
      <c r="B247">
        <v>4.4999999999999998E-2</v>
      </c>
    </row>
    <row r="248" spans="1:2">
      <c r="A248" t="s">
        <v>298</v>
      </c>
      <c r="B248">
        <v>3.3000000000000002E-2</v>
      </c>
    </row>
    <row r="249" spans="1:2">
      <c r="A249" t="s">
        <v>299</v>
      </c>
      <c r="B249">
        <v>2.7E-2</v>
      </c>
    </row>
    <row r="250" spans="1:2">
      <c r="A250" t="s">
        <v>300</v>
      </c>
      <c r="B250">
        <v>3.4000000000000002E-2</v>
      </c>
    </row>
    <row r="251" spans="1:2">
      <c r="A251" t="s">
        <v>301</v>
      </c>
      <c r="B251">
        <v>2.5999999999999999E-2</v>
      </c>
    </row>
    <row r="252" spans="1:2">
      <c r="A252" t="s">
        <v>302</v>
      </c>
      <c r="B252">
        <v>1.9E-2</v>
      </c>
    </row>
    <row r="253" spans="1:2">
      <c r="A253" t="s">
        <v>303</v>
      </c>
      <c r="B253">
        <v>1.6E-2</v>
      </c>
    </row>
    <row r="254" spans="1:2">
      <c r="A254" t="s">
        <v>304</v>
      </c>
      <c r="B254">
        <v>8.5000000000000006E-2</v>
      </c>
    </row>
    <row r="255" spans="1:2">
      <c r="A255" t="s">
        <v>305</v>
      </c>
      <c r="B255">
        <v>6.5000000000000002E-2</v>
      </c>
    </row>
    <row r="256" spans="1:2">
      <c r="A256" t="s">
        <v>306</v>
      </c>
      <c r="B256">
        <v>4.8000000000000001E-2</v>
      </c>
    </row>
    <row r="257" spans="1:2">
      <c r="A257" t="s">
        <v>307</v>
      </c>
      <c r="B257">
        <v>3.9E-2</v>
      </c>
    </row>
    <row r="258" spans="1:2">
      <c r="A258" t="s">
        <v>310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/>
  <sheetData>
    <row r="1" spans="1:2">
      <c r="A1" s="19" t="s">
        <v>311</v>
      </c>
      <c r="B1" s="19" t="s">
        <v>312</v>
      </c>
    </row>
    <row r="2" spans="1:2">
      <c r="A2" t="s">
        <v>313</v>
      </c>
      <c r="B2">
        <v>1</v>
      </c>
    </row>
    <row r="3" spans="1:2">
      <c r="A3" t="s">
        <v>10</v>
      </c>
      <c r="B3">
        <v>0.85</v>
      </c>
    </row>
    <row r="4" spans="1:2">
      <c r="A4" t="s">
        <v>314</v>
      </c>
      <c r="B4">
        <v>0.7</v>
      </c>
    </row>
    <row r="6" spans="1:2">
      <c r="A6" t="s">
        <v>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5"/>
  <sheetData>
    <row r="1" spans="1:3">
      <c r="A1" s="19" t="s">
        <v>316</v>
      </c>
      <c r="B1" s="19" t="s">
        <v>317</v>
      </c>
      <c r="C1" s="19" t="s">
        <v>318</v>
      </c>
    </row>
    <row r="2" spans="1:3">
      <c r="A2" t="s">
        <v>319</v>
      </c>
      <c r="B2" t="s">
        <v>319</v>
      </c>
      <c r="C2">
        <v>0.85</v>
      </c>
    </row>
    <row r="3" spans="1:3">
      <c r="A3" t="s">
        <v>320</v>
      </c>
      <c r="B3" t="s">
        <v>321</v>
      </c>
      <c r="C3">
        <v>0.84</v>
      </c>
    </row>
    <row r="4" spans="1:3">
      <c r="A4" t="s">
        <v>322</v>
      </c>
      <c r="B4" t="s">
        <v>323</v>
      </c>
      <c r="C4">
        <v>1</v>
      </c>
    </row>
    <row r="5" spans="1:3">
      <c r="A5" t="s">
        <v>18</v>
      </c>
      <c r="B5" t="s">
        <v>323</v>
      </c>
      <c r="C5">
        <v>1.9</v>
      </c>
    </row>
    <row r="6" spans="1:3">
      <c r="A6" t="s">
        <v>324</v>
      </c>
      <c r="B6" t="s">
        <v>324</v>
      </c>
      <c r="C6">
        <v>0.65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/>
  </sheetViews>
  <sheetFormatPr defaultRowHeight="15"/>
  <sheetData>
    <row r="1" spans="1:3">
      <c r="A1" s="19" t="s">
        <v>325</v>
      </c>
      <c r="B1" s="19" t="s">
        <v>317</v>
      </c>
      <c r="C1" s="19" t="s">
        <v>318</v>
      </c>
    </row>
    <row r="2" spans="1:3">
      <c r="A2" t="s">
        <v>319</v>
      </c>
      <c r="B2" t="s">
        <v>319</v>
      </c>
      <c r="C2">
        <v>0.6</v>
      </c>
    </row>
    <row r="3" spans="1:3">
      <c r="A3" t="s">
        <v>21</v>
      </c>
      <c r="B3" t="s">
        <v>323</v>
      </c>
      <c r="C3">
        <v>0.9</v>
      </c>
    </row>
    <row r="4" spans="1:3">
      <c r="A4" t="s">
        <v>320</v>
      </c>
      <c r="B4" t="s">
        <v>321</v>
      </c>
      <c r="C4">
        <v>0.59</v>
      </c>
    </row>
    <row r="5" spans="1:3">
      <c r="A5" t="s">
        <v>326</v>
      </c>
      <c r="B5" t="s">
        <v>323</v>
      </c>
      <c r="C5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94"/>
  <sheetViews>
    <sheetView workbookViewId="0"/>
  </sheetViews>
  <sheetFormatPr defaultRowHeight="15"/>
  <sheetData>
    <row r="1" spans="1:2">
      <c r="A1" s="19" t="s">
        <v>50</v>
      </c>
      <c r="B1" s="19" t="s">
        <v>327</v>
      </c>
    </row>
    <row r="2" spans="1:2">
      <c r="A2" t="s">
        <v>328</v>
      </c>
      <c r="B2">
        <v>12.4</v>
      </c>
    </row>
    <row r="3" spans="1:2">
      <c r="A3" t="s">
        <v>329</v>
      </c>
      <c r="B3">
        <v>11.3</v>
      </c>
    </row>
    <row r="4" spans="1:2">
      <c r="A4" t="s">
        <v>330</v>
      </c>
      <c r="B4">
        <v>8.5</v>
      </c>
    </row>
    <row r="5" spans="1:2">
      <c r="A5" t="s">
        <v>331</v>
      </c>
      <c r="B5">
        <v>11.2</v>
      </c>
    </row>
    <row r="6" spans="1:2">
      <c r="A6" t="s">
        <v>332</v>
      </c>
      <c r="B6">
        <v>10.199999999999999</v>
      </c>
    </row>
    <row r="7" spans="1:2">
      <c r="A7" t="s">
        <v>333</v>
      </c>
      <c r="B7">
        <v>7.6</v>
      </c>
    </row>
    <row r="8" spans="1:2">
      <c r="A8" t="s">
        <v>334</v>
      </c>
      <c r="B8">
        <v>19.8</v>
      </c>
    </row>
    <row r="9" spans="1:2">
      <c r="A9" t="s">
        <v>335</v>
      </c>
      <c r="B9">
        <v>18</v>
      </c>
    </row>
    <row r="10" spans="1:2">
      <c r="A10" t="s">
        <v>336</v>
      </c>
      <c r="B10">
        <v>13.5</v>
      </c>
    </row>
    <row r="11" spans="1:2">
      <c r="A11" t="s">
        <v>337</v>
      </c>
      <c r="B11">
        <v>15.8</v>
      </c>
    </row>
    <row r="12" spans="1:2">
      <c r="A12" t="s">
        <v>338</v>
      </c>
      <c r="B12">
        <v>14.4</v>
      </c>
    </row>
    <row r="13" spans="1:2">
      <c r="A13" t="s">
        <v>339</v>
      </c>
      <c r="B13">
        <v>10.8</v>
      </c>
    </row>
    <row r="14" spans="1:2">
      <c r="A14" t="s">
        <v>340</v>
      </c>
      <c r="B14">
        <v>13.2</v>
      </c>
    </row>
    <row r="15" spans="1:2">
      <c r="A15" t="s">
        <v>341</v>
      </c>
      <c r="B15">
        <v>12</v>
      </c>
    </row>
    <row r="16" spans="1:2">
      <c r="A16" t="s">
        <v>342</v>
      </c>
      <c r="B16">
        <v>9</v>
      </c>
    </row>
    <row r="17" spans="1:2">
      <c r="A17" t="s">
        <v>343</v>
      </c>
      <c r="B17">
        <v>18.2</v>
      </c>
    </row>
    <row r="18" spans="1:2">
      <c r="A18" t="s">
        <v>344</v>
      </c>
      <c r="B18">
        <v>16.5</v>
      </c>
    </row>
    <row r="19" spans="1:2">
      <c r="A19" t="s">
        <v>345</v>
      </c>
      <c r="B19">
        <v>12.4</v>
      </c>
    </row>
    <row r="20" spans="1:2">
      <c r="A20" t="s">
        <v>346</v>
      </c>
      <c r="B20">
        <v>12.7</v>
      </c>
    </row>
    <row r="21" spans="1:2">
      <c r="A21" t="s">
        <v>347</v>
      </c>
      <c r="B21">
        <v>11.5</v>
      </c>
    </row>
    <row r="22" spans="1:2">
      <c r="A22" t="s">
        <v>348</v>
      </c>
      <c r="B22">
        <v>8.6</v>
      </c>
    </row>
    <row r="23" spans="1:2">
      <c r="A23" t="s">
        <v>349</v>
      </c>
      <c r="B23">
        <v>12.7</v>
      </c>
    </row>
    <row r="24" spans="1:2">
      <c r="A24" t="s">
        <v>350</v>
      </c>
      <c r="B24">
        <v>11.5</v>
      </c>
    </row>
    <row r="25" spans="1:2">
      <c r="A25" t="s">
        <v>351</v>
      </c>
      <c r="B25">
        <v>8.6</v>
      </c>
    </row>
    <row r="26" spans="1:2">
      <c r="A26" t="s">
        <v>352</v>
      </c>
      <c r="B26">
        <v>13.8</v>
      </c>
    </row>
    <row r="27" spans="1:2">
      <c r="A27" t="s">
        <v>353</v>
      </c>
      <c r="B27">
        <v>12.5</v>
      </c>
    </row>
    <row r="28" spans="1:2">
      <c r="A28" t="s">
        <v>354</v>
      </c>
      <c r="B28">
        <v>9.4</v>
      </c>
    </row>
    <row r="29" spans="1:2">
      <c r="A29" t="s">
        <v>355</v>
      </c>
      <c r="B29">
        <v>12.7</v>
      </c>
    </row>
    <row r="30" spans="1:2">
      <c r="A30" t="s">
        <v>356</v>
      </c>
      <c r="B30">
        <v>11.5</v>
      </c>
    </row>
    <row r="31" spans="1:2">
      <c r="A31" t="s">
        <v>357</v>
      </c>
      <c r="B31">
        <v>8.6</v>
      </c>
    </row>
    <row r="32" spans="1:2">
      <c r="A32" t="s">
        <v>358</v>
      </c>
      <c r="B32">
        <v>14.9</v>
      </c>
    </row>
    <row r="33" spans="1:2">
      <c r="A33" t="s">
        <v>359</v>
      </c>
      <c r="B33">
        <v>13.5</v>
      </c>
    </row>
    <row r="34" spans="1:2">
      <c r="A34" t="s">
        <v>360</v>
      </c>
      <c r="B34">
        <v>10.1</v>
      </c>
    </row>
    <row r="35" spans="1:2">
      <c r="A35" t="s">
        <v>361</v>
      </c>
      <c r="B35">
        <v>15.4</v>
      </c>
    </row>
    <row r="36" spans="1:2">
      <c r="A36" t="s">
        <v>362</v>
      </c>
      <c r="B36">
        <v>14</v>
      </c>
    </row>
    <row r="37" spans="1:2">
      <c r="A37" t="s">
        <v>363</v>
      </c>
      <c r="B37">
        <v>10.5</v>
      </c>
    </row>
    <row r="38" spans="1:2">
      <c r="A38" t="s">
        <v>364</v>
      </c>
      <c r="B38">
        <v>15.4</v>
      </c>
    </row>
    <row r="39" spans="1:2">
      <c r="A39" t="s">
        <v>365</v>
      </c>
      <c r="B39">
        <v>14</v>
      </c>
    </row>
    <row r="40" spans="1:2">
      <c r="A40" t="s">
        <v>366</v>
      </c>
      <c r="B40">
        <v>10.5</v>
      </c>
    </row>
    <row r="41" spans="1:2">
      <c r="A41" t="s">
        <v>367</v>
      </c>
      <c r="B41">
        <v>12.8</v>
      </c>
    </row>
    <row r="42" spans="1:2">
      <c r="A42" t="s">
        <v>368</v>
      </c>
      <c r="B42">
        <v>11.6</v>
      </c>
    </row>
    <row r="43" spans="1:2">
      <c r="A43" t="s">
        <v>369</v>
      </c>
      <c r="B43">
        <v>8.6999999999999993</v>
      </c>
    </row>
    <row r="44" spans="1:2">
      <c r="A44" t="s">
        <v>370</v>
      </c>
      <c r="B44">
        <v>11.6</v>
      </c>
    </row>
    <row r="45" spans="1:2">
      <c r="A45" t="s">
        <v>371</v>
      </c>
      <c r="B45">
        <v>10.6</v>
      </c>
    </row>
    <row r="46" spans="1:2">
      <c r="A46" t="s">
        <v>372</v>
      </c>
      <c r="B46">
        <v>7.9</v>
      </c>
    </row>
    <row r="47" spans="1:2">
      <c r="A47" t="s">
        <v>373</v>
      </c>
      <c r="B47">
        <v>12</v>
      </c>
    </row>
    <row r="48" spans="1:2">
      <c r="A48" t="s">
        <v>374</v>
      </c>
      <c r="B48">
        <v>10.9</v>
      </c>
    </row>
    <row r="49" spans="1:2">
      <c r="A49" t="s">
        <v>375</v>
      </c>
      <c r="B49">
        <v>8.1999999999999993</v>
      </c>
    </row>
    <row r="50" spans="1:2">
      <c r="A50" t="s">
        <v>376</v>
      </c>
      <c r="B50">
        <v>14.7</v>
      </c>
    </row>
    <row r="51" spans="1:2">
      <c r="A51" t="s">
        <v>377</v>
      </c>
      <c r="B51">
        <v>13.4</v>
      </c>
    </row>
    <row r="52" spans="1:2">
      <c r="A52" t="s">
        <v>378</v>
      </c>
      <c r="B52">
        <v>10</v>
      </c>
    </row>
    <row r="53" spans="1:2">
      <c r="A53" t="s">
        <v>379</v>
      </c>
      <c r="B53">
        <v>12.3</v>
      </c>
    </row>
    <row r="54" spans="1:2">
      <c r="A54" t="s">
        <v>380</v>
      </c>
      <c r="B54">
        <v>11.2</v>
      </c>
    </row>
    <row r="55" spans="1:2">
      <c r="A55" t="s">
        <v>381</v>
      </c>
      <c r="B55">
        <v>8.4</v>
      </c>
    </row>
    <row r="56" spans="1:2">
      <c r="A56" t="s">
        <v>382</v>
      </c>
      <c r="B56">
        <v>15.4</v>
      </c>
    </row>
    <row r="57" spans="1:2">
      <c r="A57" t="s">
        <v>383</v>
      </c>
      <c r="B57">
        <v>14</v>
      </c>
    </row>
    <row r="58" spans="1:2">
      <c r="A58" t="s">
        <v>384</v>
      </c>
      <c r="B58">
        <v>10.5</v>
      </c>
    </row>
    <row r="59" spans="1:2">
      <c r="A59" t="s">
        <v>385</v>
      </c>
      <c r="B59">
        <v>10.6</v>
      </c>
    </row>
    <row r="60" spans="1:2">
      <c r="A60" t="s">
        <v>386</v>
      </c>
      <c r="B60">
        <v>9.6</v>
      </c>
    </row>
    <row r="61" spans="1:2">
      <c r="A61" t="s">
        <v>387</v>
      </c>
      <c r="B61">
        <v>7.2</v>
      </c>
    </row>
    <row r="62" spans="1:2">
      <c r="A62" t="s">
        <v>388</v>
      </c>
      <c r="B62">
        <v>12.7</v>
      </c>
    </row>
    <row r="63" spans="1:2">
      <c r="A63" t="s">
        <v>389</v>
      </c>
      <c r="B63">
        <v>11.5</v>
      </c>
    </row>
    <row r="64" spans="1:2">
      <c r="A64" t="s">
        <v>390</v>
      </c>
      <c r="B64">
        <v>8.6</v>
      </c>
    </row>
    <row r="65" spans="1:2">
      <c r="A65" t="s">
        <v>391</v>
      </c>
      <c r="B65">
        <v>11.9</v>
      </c>
    </row>
    <row r="66" spans="1:2">
      <c r="A66" t="s">
        <v>392</v>
      </c>
      <c r="B66">
        <v>10.8</v>
      </c>
    </row>
    <row r="67" spans="1:2">
      <c r="A67" t="s">
        <v>393</v>
      </c>
      <c r="B67">
        <v>8.1</v>
      </c>
    </row>
    <row r="68" spans="1:2">
      <c r="A68" t="s">
        <v>394</v>
      </c>
      <c r="B68">
        <v>12.1</v>
      </c>
    </row>
    <row r="69" spans="1:2">
      <c r="A69" t="s">
        <v>395</v>
      </c>
      <c r="B69">
        <v>11</v>
      </c>
    </row>
    <row r="70" spans="1:2">
      <c r="A70" t="s">
        <v>396</v>
      </c>
      <c r="B70">
        <v>8.1999999999999993</v>
      </c>
    </row>
    <row r="71" spans="1:2">
      <c r="A71" t="s">
        <v>397</v>
      </c>
      <c r="B71">
        <v>12.4</v>
      </c>
    </row>
    <row r="72" spans="1:2">
      <c r="A72" t="s">
        <v>398</v>
      </c>
      <c r="B72">
        <v>11.3</v>
      </c>
    </row>
    <row r="73" spans="1:2">
      <c r="A73" t="s">
        <v>399</v>
      </c>
      <c r="B73">
        <v>8.5</v>
      </c>
    </row>
    <row r="74" spans="1:2">
      <c r="A74" t="s">
        <v>400</v>
      </c>
      <c r="B74">
        <v>10.3</v>
      </c>
    </row>
    <row r="75" spans="1:2">
      <c r="A75" t="s">
        <v>401</v>
      </c>
      <c r="B75">
        <v>9.4</v>
      </c>
    </row>
    <row r="76" spans="1:2">
      <c r="A76" t="s">
        <v>402</v>
      </c>
      <c r="B76">
        <v>7.1</v>
      </c>
    </row>
    <row r="77" spans="1:2">
      <c r="A77" t="s">
        <v>403</v>
      </c>
      <c r="B77">
        <v>11.9</v>
      </c>
    </row>
    <row r="78" spans="1:2">
      <c r="A78" t="s">
        <v>404</v>
      </c>
      <c r="B78">
        <v>10.8</v>
      </c>
    </row>
    <row r="79" spans="1:2">
      <c r="A79" t="s">
        <v>405</v>
      </c>
      <c r="B79">
        <v>8.1</v>
      </c>
    </row>
    <row r="80" spans="1:2">
      <c r="A80" t="s">
        <v>406</v>
      </c>
      <c r="B80">
        <v>9.9</v>
      </c>
    </row>
    <row r="81" spans="1:2">
      <c r="A81" t="s">
        <v>407</v>
      </c>
      <c r="B81">
        <v>9</v>
      </c>
    </row>
    <row r="82" spans="1:2">
      <c r="A82" t="s">
        <v>408</v>
      </c>
      <c r="B82">
        <v>6.8</v>
      </c>
    </row>
    <row r="83" spans="1:2">
      <c r="A83" t="s">
        <v>409</v>
      </c>
      <c r="B83">
        <v>14.3</v>
      </c>
    </row>
    <row r="84" spans="1:2">
      <c r="A84" t="s">
        <v>410</v>
      </c>
      <c r="B84">
        <v>13</v>
      </c>
    </row>
    <row r="85" spans="1:2">
      <c r="A85" t="s">
        <v>411</v>
      </c>
      <c r="B85">
        <v>9.8000000000000007</v>
      </c>
    </row>
    <row r="86" spans="1:2">
      <c r="A86" t="s">
        <v>412</v>
      </c>
      <c r="B86">
        <v>11.9</v>
      </c>
    </row>
    <row r="87" spans="1:2">
      <c r="A87" t="s">
        <v>413</v>
      </c>
      <c r="B87">
        <v>10.8</v>
      </c>
    </row>
    <row r="88" spans="1:2">
      <c r="A88" t="s">
        <v>414</v>
      </c>
      <c r="B88">
        <v>8.1</v>
      </c>
    </row>
    <row r="89" spans="1:2">
      <c r="A89" t="s">
        <v>415</v>
      </c>
      <c r="B89">
        <v>11.9</v>
      </c>
    </row>
    <row r="90" spans="1:2">
      <c r="A90" t="s">
        <v>416</v>
      </c>
      <c r="B90">
        <v>10.8</v>
      </c>
    </row>
    <row r="91" spans="1:2">
      <c r="A91" t="s">
        <v>417</v>
      </c>
      <c r="B91">
        <v>8.1</v>
      </c>
    </row>
    <row r="92" spans="1:2">
      <c r="A92" t="s">
        <v>418</v>
      </c>
      <c r="B92">
        <v>12.3</v>
      </c>
    </row>
    <row r="93" spans="1:2">
      <c r="A93" t="s">
        <v>419</v>
      </c>
      <c r="B93">
        <v>11.2</v>
      </c>
    </row>
    <row r="94" spans="1:2">
      <c r="A94" t="s">
        <v>420</v>
      </c>
      <c r="B94">
        <v>8.4</v>
      </c>
    </row>
    <row r="95" spans="1:2">
      <c r="A95" t="s">
        <v>421</v>
      </c>
      <c r="B95">
        <v>12.3</v>
      </c>
    </row>
    <row r="96" spans="1:2">
      <c r="A96" t="s">
        <v>422</v>
      </c>
      <c r="B96">
        <v>11.2</v>
      </c>
    </row>
    <row r="97" spans="1:2">
      <c r="A97" t="s">
        <v>423</v>
      </c>
      <c r="B97">
        <v>8.4</v>
      </c>
    </row>
    <row r="98" spans="1:2">
      <c r="A98" t="s">
        <v>424</v>
      </c>
      <c r="B98">
        <v>12.7</v>
      </c>
    </row>
    <row r="99" spans="1:2">
      <c r="A99" t="s">
        <v>425</v>
      </c>
      <c r="B99">
        <v>11.5</v>
      </c>
    </row>
    <row r="100" spans="1:2">
      <c r="A100" t="s">
        <v>426</v>
      </c>
      <c r="B100">
        <v>8.6</v>
      </c>
    </row>
    <row r="101" spans="1:2">
      <c r="A101" t="s">
        <v>427</v>
      </c>
      <c r="B101">
        <v>10.8</v>
      </c>
    </row>
    <row r="102" spans="1:2">
      <c r="A102" t="s">
        <v>428</v>
      </c>
      <c r="B102">
        <v>9.8000000000000007</v>
      </c>
    </row>
    <row r="103" spans="1:2">
      <c r="A103" t="s">
        <v>429</v>
      </c>
      <c r="B103">
        <v>7.4</v>
      </c>
    </row>
    <row r="104" spans="1:2">
      <c r="A104" t="s">
        <v>430</v>
      </c>
      <c r="B104">
        <v>13.8</v>
      </c>
    </row>
    <row r="105" spans="1:2">
      <c r="A105" t="s">
        <v>431</v>
      </c>
      <c r="B105">
        <v>12.5</v>
      </c>
    </row>
    <row r="106" spans="1:2">
      <c r="A106" t="s">
        <v>432</v>
      </c>
      <c r="B106">
        <v>9.4</v>
      </c>
    </row>
    <row r="107" spans="1:2">
      <c r="A107" t="s">
        <v>433</v>
      </c>
      <c r="B107">
        <v>12.3</v>
      </c>
    </row>
    <row r="108" spans="1:2">
      <c r="A108" t="s">
        <v>434</v>
      </c>
      <c r="B108">
        <v>11.2</v>
      </c>
    </row>
    <row r="109" spans="1:2">
      <c r="A109" t="s">
        <v>435</v>
      </c>
      <c r="B109">
        <v>8.4</v>
      </c>
    </row>
    <row r="110" spans="1:2">
      <c r="A110" t="s">
        <v>436</v>
      </c>
      <c r="B110">
        <v>12.1</v>
      </c>
    </row>
    <row r="111" spans="1:2">
      <c r="A111" t="s">
        <v>437</v>
      </c>
      <c r="B111">
        <v>11</v>
      </c>
    </row>
    <row r="112" spans="1:2">
      <c r="A112" t="s">
        <v>438</v>
      </c>
      <c r="B112">
        <v>8.1999999999999993</v>
      </c>
    </row>
    <row r="113" spans="1:2">
      <c r="A113" t="s">
        <v>439</v>
      </c>
      <c r="B113">
        <v>13</v>
      </c>
    </row>
    <row r="114" spans="1:2">
      <c r="A114" t="s">
        <v>440</v>
      </c>
      <c r="B114">
        <v>11.8</v>
      </c>
    </row>
    <row r="115" spans="1:2">
      <c r="A115" t="s">
        <v>441</v>
      </c>
      <c r="B115">
        <v>8.9</v>
      </c>
    </row>
    <row r="116" spans="1:2">
      <c r="A116" t="s">
        <v>442</v>
      </c>
      <c r="B116">
        <v>11.6</v>
      </c>
    </row>
    <row r="117" spans="1:2">
      <c r="A117" t="s">
        <v>443</v>
      </c>
      <c r="B117">
        <v>10.5</v>
      </c>
    </row>
    <row r="118" spans="1:2">
      <c r="A118" t="s">
        <v>444</v>
      </c>
      <c r="B118">
        <v>7.9</v>
      </c>
    </row>
    <row r="119" spans="1:2">
      <c r="A119" t="s">
        <v>445</v>
      </c>
      <c r="B119">
        <v>12.1</v>
      </c>
    </row>
    <row r="120" spans="1:2">
      <c r="A120" t="s">
        <v>446</v>
      </c>
      <c r="B120">
        <v>11</v>
      </c>
    </row>
    <row r="121" spans="1:2">
      <c r="A121" t="s">
        <v>447</v>
      </c>
      <c r="B121">
        <v>8.1999999999999993</v>
      </c>
    </row>
    <row r="122" spans="1:2">
      <c r="A122" t="s">
        <v>448</v>
      </c>
      <c r="B122">
        <v>14.3</v>
      </c>
    </row>
    <row r="123" spans="1:2">
      <c r="A123" t="s">
        <v>449</v>
      </c>
      <c r="B123">
        <v>13</v>
      </c>
    </row>
    <row r="124" spans="1:2">
      <c r="A124" t="s">
        <v>450</v>
      </c>
      <c r="B124">
        <v>9.8000000000000007</v>
      </c>
    </row>
    <row r="125" spans="1:2">
      <c r="A125" t="s">
        <v>451</v>
      </c>
      <c r="B125">
        <v>12.7</v>
      </c>
    </row>
    <row r="126" spans="1:2">
      <c r="A126" t="s">
        <v>452</v>
      </c>
      <c r="B126">
        <v>11.5</v>
      </c>
    </row>
    <row r="127" spans="1:2">
      <c r="A127" t="s">
        <v>453</v>
      </c>
      <c r="B127">
        <v>8.6</v>
      </c>
    </row>
    <row r="128" spans="1:2">
      <c r="A128" t="s">
        <v>454</v>
      </c>
      <c r="B128">
        <v>11</v>
      </c>
    </row>
    <row r="129" spans="1:2">
      <c r="A129" t="s">
        <v>455</v>
      </c>
      <c r="B129">
        <v>10</v>
      </c>
    </row>
    <row r="130" spans="1:2">
      <c r="A130" t="s">
        <v>456</v>
      </c>
      <c r="B130">
        <v>7.5</v>
      </c>
    </row>
    <row r="131" spans="1:2">
      <c r="A131" t="s">
        <v>457</v>
      </c>
      <c r="B131">
        <v>13.2</v>
      </c>
    </row>
    <row r="132" spans="1:2">
      <c r="A132" t="s">
        <v>458</v>
      </c>
      <c r="B132">
        <v>12</v>
      </c>
    </row>
    <row r="133" spans="1:2">
      <c r="A133" t="s">
        <v>459</v>
      </c>
      <c r="B133">
        <v>9</v>
      </c>
    </row>
    <row r="134" spans="1:2">
      <c r="A134" t="s">
        <v>460</v>
      </c>
      <c r="B134">
        <v>12.3</v>
      </c>
    </row>
    <row r="135" spans="1:2">
      <c r="A135" t="s">
        <v>461</v>
      </c>
      <c r="B135">
        <v>11.2</v>
      </c>
    </row>
    <row r="136" spans="1:2">
      <c r="A136" t="s">
        <v>462</v>
      </c>
      <c r="B136">
        <v>8.4</v>
      </c>
    </row>
    <row r="137" spans="1:2">
      <c r="A137" t="s">
        <v>463</v>
      </c>
      <c r="B137">
        <v>11.6</v>
      </c>
    </row>
    <row r="138" spans="1:2">
      <c r="A138" t="s">
        <v>464</v>
      </c>
      <c r="B138">
        <v>10.5</v>
      </c>
    </row>
    <row r="139" spans="1:2">
      <c r="A139" t="s">
        <v>465</v>
      </c>
      <c r="B139">
        <v>7.9</v>
      </c>
    </row>
    <row r="140" spans="1:2">
      <c r="A140" t="s">
        <v>466</v>
      </c>
      <c r="B140">
        <v>11.9</v>
      </c>
    </row>
    <row r="141" spans="1:2">
      <c r="A141" t="s">
        <v>467</v>
      </c>
      <c r="B141">
        <v>10.8</v>
      </c>
    </row>
    <row r="142" spans="1:2">
      <c r="A142" t="s">
        <v>468</v>
      </c>
      <c r="B142">
        <v>8.1</v>
      </c>
    </row>
    <row r="143" spans="1:2">
      <c r="A143" t="s">
        <v>469</v>
      </c>
      <c r="B143">
        <v>13.8</v>
      </c>
    </row>
    <row r="144" spans="1:2">
      <c r="A144" t="s">
        <v>470</v>
      </c>
      <c r="B144">
        <v>12.5</v>
      </c>
    </row>
    <row r="145" spans="1:2">
      <c r="A145" t="s">
        <v>471</v>
      </c>
      <c r="B145">
        <v>9.4</v>
      </c>
    </row>
    <row r="146" spans="1:2">
      <c r="A146" t="s">
        <v>472</v>
      </c>
      <c r="B146">
        <v>11.9</v>
      </c>
    </row>
    <row r="147" spans="1:2">
      <c r="A147" t="s">
        <v>473</v>
      </c>
      <c r="B147">
        <v>10.8</v>
      </c>
    </row>
    <row r="148" spans="1:2">
      <c r="A148" t="s">
        <v>474</v>
      </c>
      <c r="B148">
        <v>8.1</v>
      </c>
    </row>
    <row r="149" spans="1:2">
      <c r="A149" t="s">
        <v>475</v>
      </c>
      <c r="B149">
        <v>11.6</v>
      </c>
    </row>
    <row r="150" spans="1:2">
      <c r="A150" t="s">
        <v>476</v>
      </c>
      <c r="B150">
        <v>10.5</v>
      </c>
    </row>
    <row r="151" spans="1:2">
      <c r="A151" t="s">
        <v>477</v>
      </c>
      <c r="B151">
        <v>7.9</v>
      </c>
    </row>
    <row r="152" spans="1:2">
      <c r="A152" t="s">
        <v>478</v>
      </c>
      <c r="B152">
        <v>14.1</v>
      </c>
    </row>
    <row r="153" spans="1:2">
      <c r="A153" t="s">
        <v>479</v>
      </c>
      <c r="B153">
        <v>12.8</v>
      </c>
    </row>
    <row r="154" spans="1:2">
      <c r="A154" t="s">
        <v>480</v>
      </c>
      <c r="B154">
        <v>9.6</v>
      </c>
    </row>
    <row r="155" spans="1:2">
      <c r="A155" t="s">
        <v>481</v>
      </c>
      <c r="B155">
        <v>12.1</v>
      </c>
    </row>
    <row r="156" spans="1:2">
      <c r="A156" t="s">
        <v>482</v>
      </c>
      <c r="B156">
        <v>11</v>
      </c>
    </row>
    <row r="157" spans="1:2">
      <c r="A157" t="s">
        <v>483</v>
      </c>
      <c r="B157">
        <v>8.1999999999999993</v>
      </c>
    </row>
    <row r="158" spans="1:2">
      <c r="A158" t="s">
        <v>484</v>
      </c>
      <c r="B158">
        <v>12.1</v>
      </c>
    </row>
    <row r="159" spans="1:2">
      <c r="A159" t="s">
        <v>485</v>
      </c>
      <c r="B159">
        <v>11</v>
      </c>
    </row>
    <row r="160" spans="1:2">
      <c r="A160" t="s">
        <v>486</v>
      </c>
      <c r="B160">
        <v>8.1999999999999993</v>
      </c>
    </row>
    <row r="161" spans="1:2">
      <c r="A161" t="s">
        <v>487</v>
      </c>
      <c r="B161">
        <v>11.6</v>
      </c>
    </row>
    <row r="162" spans="1:2">
      <c r="A162" t="s">
        <v>488</v>
      </c>
      <c r="B162">
        <v>10.5</v>
      </c>
    </row>
    <row r="163" spans="1:2">
      <c r="A163" t="s">
        <v>489</v>
      </c>
      <c r="B163">
        <v>7.9</v>
      </c>
    </row>
    <row r="164" spans="1:2">
      <c r="A164" t="s">
        <v>490</v>
      </c>
      <c r="B164">
        <v>13.8</v>
      </c>
    </row>
    <row r="165" spans="1:2">
      <c r="A165" t="s">
        <v>491</v>
      </c>
      <c r="B165">
        <v>12.5</v>
      </c>
    </row>
    <row r="166" spans="1:2">
      <c r="A166" t="s">
        <v>492</v>
      </c>
      <c r="B166">
        <v>9.4</v>
      </c>
    </row>
    <row r="167" spans="1:2">
      <c r="A167" t="s">
        <v>493</v>
      </c>
      <c r="B167">
        <v>11.9</v>
      </c>
    </row>
    <row r="168" spans="1:2">
      <c r="A168" t="s">
        <v>494</v>
      </c>
      <c r="B168">
        <v>10.8</v>
      </c>
    </row>
    <row r="169" spans="1:2">
      <c r="A169" t="s">
        <v>495</v>
      </c>
      <c r="B169">
        <v>8.1</v>
      </c>
    </row>
    <row r="170" spans="1:2">
      <c r="A170" t="s">
        <v>496</v>
      </c>
      <c r="B170">
        <v>10.8</v>
      </c>
    </row>
    <row r="171" spans="1:2">
      <c r="A171" t="s">
        <v>497</v>
      </c>
      <c r="B171">
        <v>9.8000000000000007</v>
      </c>
    </row>
    <row r="172" spans="1:2">
      <c r="A172" t="s">
        <v>498</v>
      </c>
      <c r="B172">
        <v>7.4</v>
      </c>
    </row>
    <row r="173" spans="1:2">
      <c r="A173" t="s">
        <v>499</v>
      </c>
      <c r="B173">
        <v>13.2</v>
      </c>
    </row>
    <row r="174" spans="1:2">
      <c r="A174" t="s">
        <v>500</v>
      </c>
      <c r="B174">
        <v>12</v>
      </c>
    </row>
    <row r="175" spans="1:2">
      <c r="A175" t="s">
        <v>501</v>
      </c>
      <c r="B175">
        <v>9</v>
      </c>
    </row>
    <row r="176" spans="1:2">
      <c r="A176" t="s">
        <v>502</v>
      </c>
      <c r="B176">
        <v>13.8</v>
      </c>
    </row>
    <row r="177" spans="1:2">
      <c r="A177" t="s">
        <v>503</v>
      </c>
      <c r="B177">
        <v>12.5</v>
      </c>
    </row>
    <row r="178" spans="1:2">
      <c r="A178" t="s">
        <v>504</v>
      </c>
      <c r="B178">
        <v>9.4</v>
      </c>
    </row>
    <row r="179" spans="1:2">
      <c r="A179" t="s">
        <v>505</v>
      </c>
      <c r="B179">
        <v>11.9</v>
      </c>
    </row>
    <row r="180" spans="1:2">
      <c r="A180" t="s">
        <v>506</v>
      </c>
      <c r="B180">
        <v>10.8</v>
      </c>
    </row>
    <row r="181" spans="1:2">
      <c r="A181" t="s">
        <v>507</v>
      </c>
      <c r="B181">
        <v>8.1</v>
      </c>
    </row>
    <row r="182" spans="1:2">
      <c r="A182" t="s">
        <v>508</v>
      </c>
      <c r="B182">
        <v>12.7</v>
      </c>
    </row>
    <row r="183" spans="1:2">
      <c r="A183" t="s">
        <v>509</v>
      </c>
      <c r="B183">
        <v>11.5</v>
      </c>
    </row>
    <row r="184" spans="1:2">
      <c r="A184" t="s">
        <v>510</v>
      </c>
      <c r="B184">
        <v>8.6</v>
      </c>
    </row>
    <row r="185" spans="1:2">
      <c r="A185" t="s">
        <v>511</v>
      </c>
      <c r="B185">
        <v>12.3</v>
      </c>
    </row>
    <row r="186" spans="1:2">
      <c r="A186" t="s">
        <v>512</v>
      </c>
      <c r="B186">
        <v>11.2</v>
      </c>
    </row>
    <row r="187" spans="1:2">
      <c r="A187" t="s">
        <v>513</v>
      </c>
      <c r="B187">
        <v>8.4</v>
      </c>
    </row>
    <row r="188" spans="1:2">
      <c r="A188" t="s">
        <v>514</v>
      </c>
      <c r="B188">
        <v>14.9</v>
      </c>
    </row>
    <row r="189" spans="1:2">
      <c r="A189" t="s">
        <v>515</v>
      </c>
      <c r="B189">
        <v>13.5</v>
      </c>
    </row>
    <row r="190" spans="1:2">
      <c r="A190" t="s">
        <v>516</v>
      </c>
      <c r="B190">
        <v>10.1</v>
      </c>
    </row>
    <row r="191" spans="1:2">
      <c r="A191" t="s">
        <v>517</v>
      </c>
      <c r="B191">
        <v>11.6</v>
      </c>
    </row>
    <row r="192" spans="1:2">
      <c r="A192" t="s">
        <v>518</v>
      </c>
      <c r="B192">
        <v>10.5</v>
      </c>
    </row>
    <row r="193" spans="1:2">
      <c r="A193" t="s">
        <v>519</v>
      </c>
      <c r="B193">
        <v>7.9</v>
      </c>
    </row>
    <row r="194" spans="1:2">
      <c r="A194" t="s">
        <v>520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66"/>
  <sheetViews>
    <sheetView workbookViewId="0"/>
  </sheetViews>
  <sheetFormatPr defaultRowHeight="15"/>
  <sheetData>
    <row r="1" spans="1:2">
      <c r="A1" s="19" t="s">
        <v>521</v>
      </c>
      <c r="B1" s="19" t="s">
        <v>522</v>
      </c>
    </row>
    <row r="2" spans="1:2">
      <c r="A2" t="s">
        <v>523</v>
      </c>
      <c r="B2">
        <v>20.2</v>
      </c>
    </row>
    <row r="3" spans="1:2">
      <c r="A3" t="s">
        <v>524</v>
      </c>
      <c r="B3">
        <v>12.8</v>
      </c>
    </row>
    <row r="4" spans="1:2">
      <c r="A4" t="s">
        <v>525</v>
      </c>
      <c r="B4">
        <v>16.2</v>
      </c>
    </row>
    <row r="5" spans="1:2">
      <c r="A5" t="s">
        <v>526</v>
      </c>
      <c r="B5">
        <v>17</v>
      </c>
    </row>
    <row r="6" spans="1:2">
      <c r="A6" t="s">
        <v>527</v>
      </c>
      <c r="B6">
        <v>16</v>
      </c>
    </row>
    <row r="7" spans="1:2">
      <c r="A7" t="s">
        <v>528</v>
      </c>
      <c r="B7">
        <v>15.5</v>
      </c>
    </row>
    <row r="8" spans="1:2">
      <c r="A8" t="s">
        <v>529</v>
      </c>
      <c r="B8">
        <v>18</v>
      </c>
    </row>
    <row r="9" spans="1:2">
      <c r="A9" t="s">
        <v>530</v>
      </c>
      <c r="B9">
        <v>17</v>
      </c>
    </row>
    <row r="10" spans="1:2">
      <c r="A10" t="s">
        <v>531</v>
      </c>
      <c r="B10">
        <v>20</v>
      </c>
    </row>
    <row r="11" spans="1:2">
      <c r="A11" t="s">
        <v>532</v>
      </c>
      <c r="B11">
        <v>16.5</v>
      </c>
    </row>
    <row r="12" spans="1:2">
      <c r="A12" t="s">
        <v>533</v>
      </c>
      <c r="B12">
        <v>20</v>
      </c>
    </row>
    <row r="13" spans="1:2">
      <c r="A13" t="s">
        <v>534</v>
      </c>
      <c r="B13">
        <v>21</v>
      </c>
    </row>
    <row r="14" spans="1:2">
      <c r="A14" t="s">
        <v>535</v>
      </c>
      <c r="B14">
        <v>22</v>
      </c>
    </row>
    <row r="15" spans="1:2">
      <c r="A15" t="s">
        <v>536</v>
      </c>
      <c r="B15">
        <v>25</v>
      </c>
    </row>
    <row r="16" spans="1:2">
      <c r="A16" t="s">
        <v>537</v>
      </c>
      <c r="B16">
        <v>22</v>
      </c>
    </row>
    <row r="17" spans="1:2">
      <c r="A17" t="s">
        <v>538</v>
      </c>
      <c r="B17">
        <v>21</v>
      </c>
    </row>
    <row r="18" spans="1:2">
      <c r="A18" t="s">
        <v>539</v>
      </c>
      <c r="B18">
        <v>22.5</v>
      </c>
    </row>
    <row r="19" spans="1:2">
      <c r="A19" t="s">
        <v>540</v>
      </c>
      <c r="B19">
        <v>16</v>
      </c>
    </row>
    <row r="20" spans="1:2">
      <c r="A20" t="s">
        <v>541</v>
      </c>
      <c r="B20">
        <v>21</v>
      </c>
    </row>
    <row r="21" spans="1:2">
      <c r="A21" t="s">
        <v>542</v>
      </c>
      <c r="B21">
        <v>17</v>
      </c>
    </row>
    <row r="22" spans="1:2">
      <c r="A22" t="s">
        <v>543</v>
      </c>
      <c r="B22">
        <v>19.5</v>
      </c>
    </row>
    <row r="23" spans="1:2">
      <c r="A23" t="s">
        <v>544</v>
      </c>
      <c r="B23">
        <v>27</v>
      </c>
    </row>
    <row r="24" spans="1:2">
      <c r="A24" t="s">
        <v>545</v>
      </c>
      <c r="B24">
        <v>23</v>
      </c>
    </row>
    <row r="25" spans="1:2">
      <c r="A25" t="s">
        <v>546</v>
      </c>
      <c r="B25">
        <v>19</v>
      </c>
    </row>
    <row r="26" spans="1:2">
      <c r="A26" t="s">
        <v>547</v>
      </c>
      <c r="B26">
        <v>21.5</v>
      </c>
    </row>
    <row r="27" spans="1:2">
      <c r="A27" t="s">
        <v>548</v>
      </c>
      <c r="B27">
        <v>19.5</v>
      </c>
    </row>
    <row r="28" spans="1:2">
      <c r="A28" t="s">
        <v>549</v>
      </c>
      <c r="B28">
        <v>22</v>
      </c>
    </row>
    <row r="29" spans="1:2">
      <c r="A29" t="s">
        <v>550</v>
      </c>
      <c r="B29">
        <v>21</v>
      </c>
    </row>
    <row r="30" spans="1:2">
      <c r="A30" t="s">
        <v>551</v>
      </c>
      <c r="B30">
        <v>21.5</v>
      </c>
    </row>
    <row r="31" spans="1:2">
      <c r="A31" t="s">
        <v>552</v>
      </c>
      <c r="B31">
        <v>22.5</v>
      </c>
    </row>
    <row r="32" spans="1:2">
      <c r="A32" t="s">
        <v>553</v>
      </c>
      <c r="B32">
        <v>26</v>
      </c>
    </row>
    <row r="33" spans="1:2">
      <c r="A33" t="s">
        <v>554</v>
      </c>
      <c r="B33">
        <v>16.5</v>
      </c>
    </row>
    <row r="34" spans="1:2">
      <c r="A34" t="s">
        <v>555</v>
      </c>
      <c r="B34">
        <v>18.5</v>
      </c>
    </row>
    <row r="35" spans="1:2">
      <c r="A35" t="s">
        <v>556</v>
      </c>
      <c r="B35">
        <v>16.5</v>
      </c>
    </row>
    <row r="36" spans="1:2">
      <c r="A36" t="s">
        <v>557</v>
      </c>
      <c r="B36">
        <v>21</v>
      </c>
    </row>
    <row r="37" spans="1:2">
      <c r="A37" t="s">
        <v>558</v>
      </c>
      <c r="B37">
        <v>20</v>
      </c>
    </row>
    <row r="38" spans="1:2">
      <c r="A38" t="s">
        <v>559</v>
      </c>
      <c r="B38">
        <v>24</v>
      </c>
    </row>
    <row r="39" spans="1:2">
      <c r="A39" t="s">
        <v>560</v>
      </c>
      <c r="B39">
        <v>21.5</v>
      </c>
    </row>
    <row r="40" spans="1:2">
      <c r="A40" t="s">
        <v>561</v>
      </c>
      <c r="B40">
        <v>21</v>
      </c>
    </row>
    <row r="41" spans="1:2">
      <c r="A41" t="s">
        <v>562</v>
      </c>
      <c r="B41">
        <v>21</v>
      </c>
    </row>
    <row r="42" spans="1:2">
      <c r="A42" t="s">
        <v>563</v>
      </c>
      <c r="B42">
        <v>20.5</v>
      </c>
    </row>
    <row r="43" spans="1:2">
      <c r="A43" t="s">
        <v>564</v>
      </c>
      <c r="B43">
        <v>17</v>
      </c>
    </row>
    <row r="44" spans="1:2">
      <c r="A44" t="s">
        <v>565</v>
      </c>
      <c r="B44">
        <v>18</v>
      </c>
    </row>
    <row r="45" spans="1:2">
      <c r="A45" t="s">
        <v>566</v>
      </c>
      <c r="B45">
        <v>20</v>
      </c>
    </row>
    <row r="46" spans="1:2">
      <c r="A46" t="s">
        <v>4</v>
      </c>
      <c r="B46">
        <v>16</v>
      </c>
    </row>
    <row r="47" spans="1:2">
      <c r="A47" t="s">
        <v>567</v>
      </c>
      <c r="B47">
        <v>21.5</v>
      </c>
    </row>
    <row r="48" spans="1:2">
      <c r="A48" t="s">
        <v>568</v>
      </c>
      <c r="B48">
        <v>21.5</v>
      </c>
    </row>
    <row r="49" spans="1:2">
      <c r="A49" t="s">
        <v>569</v>
      </c>
      <c r="B49">
        <v>21.5</v>
      </c>
    </row>
    <row r="50" spans="1:2">
      <c r="A50" t="s">
        <v>570</v>
      </c>
      <c r="B50">
        <v>22.5</v>
      </c>
    </row>
    <row r="51" spans="1:2">
      <c r="A51" t="s">
        <v>571</v>
      </c>
      <c r="B51">
        <v>18.5</v>
      </c>
    </row>
    <row r="52" spans="1:2">
      <c r="A52" t="s">
        <v>572</v>
      </c>
      <c r="B52">
        <v>18</v>
      </c>
    </row>
    <row r="53" spans="1:2">
      <c r="A53" t="s">
        <v>573</v>
      </c>
      <c r="B53">
        <v>17</v>
      </c>
    </row>
    <row r="54" spans="1:2">
      <c r="A54" t="s">
        <v>574</v>
      </c>
      <c r="B54">
        <v>24</v>
      </c>
    </row>
    <row r="55" spans="1:2">
      <c r="A55" t="s">
        <v>575</v>
      </c>
      <c r="B55">
        <v>21.5</v>
      </c>
    </row>
    <row r="56" spans="1:2">
      <c r="A56" t="s">
        <v>576</v>
      </c>
      <c r="B56">
        <v>23</v>
      </c>
    </row>
    <row r="57" spans="1:2">
      <c r="A57" t="s">
        <v>577</v>
      </c>
      <c r="B57">
        <v>23</v>
      </c>
    </row>
    <row r="58" spans="1:2">
      <c r="A58" t="s">
        <v>578</v>
      </c>
      <c r="B58">
        <v>21</v>
      </c>
    </row>
    <row r="59" spans="1:2">
      <c r="A59" t="s">
        <v>579</v>
      </c>
      <c r="B59">
        <v>16.5</v>
      </c>
    </row>
    <row r="60" spans="1:2">
      <c r="A60" t="s">
        <v>580</v>
      </c>
      <c r="B60">
        <v>20</v>
      </c>
    </row>
    <row r="61" spans="1:2">
      <c r="A61" t="s">
        <v>581</v>
      </c>
      <c r="B61">
        <v>20</v>
      </c>
    </row>
    <row r="62" spans="1:2">
      <c r="A62" t="s">
        <v>582</v>
      </c>
      <c r="B62">
        <v>22</v>
      </c>
    </row>
    <row r="63" spans="1:2">
      <c r="A63" t="s">
        <v>583</v>
      </c>
      <c r="B63">
        <v>21</v>
      </c>
    </row>
    <row r="64" spans="1:2">
      <c r="A64" t="s">
        <v>584</v>
      </c>
      <c r="B64">
        <v>22</v>
      </c>
    </row>
    <row r="65" spans="1:2">
      <c r="A65" t="s">
        <v>585</v>
      </c>
      <c r="B65">
        <v>14.5</v>
      </c>
    </row>
    <row r="66" spans="1:2">
      <c r="A66" t="s">
        <v>586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9"/>
  <sheetViews>
    <sheetView workbookViewId="0"/>
  </sheetViews>
  <sheetFormatPr defaultRowHeight="15"/>
  <sheetData>
    <row r="1" spans="1:3">
      <c r="A1" s="19" t="s">
        <v>587</v>
      </c>
      <c r="B1" s="19" t="s">
        <v>588</v>
      </c>
      <c r="C1" s="19" t="s">
        <v>589</v>
      </c>
    </row>
    <row r="2" spans="1:3">
      <c r="A2" t="s">
        <v>590</v>
      </c>
      <c r="B2">
        <v>0.66</v>
      </c>
      <c r="C2">
        <v>0.64</v>
      </c>
    </row>
    <row r="3" spans="1:3">
      <c r="A3" t="s">
        <v>591</v>
      </c>
      <c r="B3">
        <v>1</v>
      </c>
      <c r="C3">
        <v>0.95</v>
      </c>
    </row>
    <row r="4" spans="1:3">
      <c r="A4" t="s">
        <v>592</v>
      </c>
      <c r="B4">
        <v>1.17</v>
      </c>
      <c r="C4">
        <v>1.21</v>
      </c>
    </row>
    <row r="5" spans="1:3">
      <c r="A5" t="s">
        <v>593</v>
      </c>
      <c r="B5">
        <v>1.3</v>
      </c>
      <c r="C5">
        <v>1.4</v>
      </c>
    </row>
    <row r="6" spans="1:3">
      <c r="A6" t="s">
        <v>594</v>
      </c>
      <c r="B6">
        <v>1.41</v>
      </c>
      <c r="C6">
        <v>1.52</v>
      </c>
    </row>
    <row r="7" spans="1:3">
      <c r="A7" t="s">
        <v>595</v>
      </c>
      <c r="B7">
        <v>1.51</v>
      </c>
      <c r="C7">
        <v>1.55</v>
      </c>
    </row>
    <row r="9" spans="1:3">
      <c r="A9" t="s">
        <v>596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workbookViewId="0"/>
  </sheetViews>
  <sheetFormatPr defaultRowHeight="15"/>
  <sheetData>
    <row r="1" spans="1:4">
      <c r="A1" s="19" t="s">
        <v>317</v>
      </c>
      <c r="B1" s="19" t="s">
        <v>597</v>
      </c>
      <c r="C1" s="19" t="s">
        <v>598</v>
      </c>
      <c r="D1" s="19" t="s">
        <v>599</v>
      </c>
    </row>
    <row r="2" spans="1:4">
      <c r="A2" t="s">
        <v>319</v>
      </c>
      <c r="B2">
        <v>50.3</v>
      </c>
      <c r="C2">
        <v>12.98</v>
      </c>
      <c r="D2">
        <f>B2+C2</f>
        <v>63.28</v>
      </c>
    </row>
    <row r="3" spans="1:4">
      <c r="A3" t="s">
        <v>321</v>
      </c>
      <c r="B3">
        <v>65.099999999999994</v>
      </c>
      <c r="C3">
        <v>14.7</v>
      </c>
      <c r="D3">
        <f>B3+C3</f>
        <v>79.8</v>
      </c>
    </row>
    <row r="4" spans="1:4">
      <c r="A4" t="s">
        <v>324</v>
      </c>
      <c r="B4">
        <v>1.1000000000000001</v>
      </c>
      <c r="C4">
        <v>0</v>
      </c>
      <c r="D4">
        <f>B4+C4</f>
        <v>1.1000000000000001</v>
      </c>
    </row>
    <row r="6" spans="1:4">
      <c r="A6" t="s">
        <v>600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6"/>
  <sheetViews>
    <sheetView workbookViewId="0"/>
  </sheetViews>
  <sheetFormatPr defaultRowHeight="15"/>
  <sheetData>
    <row r="1" spans="1:6">
      <c r="A1" s="19" t="s">
        <v>521</v>
      </c>
      <c r="B1" s="19" t="s">
        <v>601</v>
      </c>
      <c r="C1" s="19" t="s">
        <v>602</v>
      </c>
      <c r="D1" s="19" t="s">
        <v>603</v>
      </c>
      <c r="E1" s="19" t="s">
        <v>598</v>
      </c>
      <c r="F1" s="19" t="s">
        <v>604</v>
      </c>
    </row>
    <row r="2" spans="1:6">
      <c r="A2" t="s">
        <v>523</v>
      </c>
      <c r="B2">
        <v>1.7</v>
      </c>
      <c r="C2">
        <v>0</v>
      </c>
      <c r="D2">
        <f>B2*0.277778/(1-C2)</f>
        <v>0.47222260000000005</v>
      </c>
      <c r="E2">
        <v>0.2</v>
      </c>
      <c r="F2">
        <f>D2+E2</f>
        <v>0.6722226</v>
      </c>
    </row>
    <row r="3" spans="1:6">
      <c r="A3" t="s">
        <v>524</v>
      </c>
      <c r="B3">
        <v>38</v>
      </c>
      <c r="C3">
        <v>0</v>
      </c>
      <c r="D3">
        <f>B3*0.277778/(1-C3)</f>
        <v>10.555564</v>
      </c>
      <c r="E3">
        <v>3.4</v>
      </c>
      <c r="F3">
        <f>D3+E3</f>
        <v>13.955564000000001</v>
      </c>
    </row>
    <row r="4" spans="1:6">
      <c r="A4" t="s">
        <v>525</v>
      </c>
      <c r="B4">
        <v>490</v>
      </c>
      <c r="C4">
        <v>0</v>
      </c>
      <c r="D4">
        <f>B4*0.277778/(1-C4)</f>
        <v>136.11122</v>
      </c>
      <c r="E4">
        <v>22.7</v>
      </c>
      <c r="F4">
        <f>D4+E4</f>
        <v>158.81121999999999</v>
      </c>
    </row>
    <row r="5" spans="1:6">
      <c r="A5" t="s">
        <v>526</v>
      </c>
      <c r="B5">
        <v>15</v>
      </c>
      <c r="C5">
        <v>0</v>
      </c>
      <c r="D5">
        <f>B5*0.277778/(1-C5)</f>
        <v>4.1666700000000008</v>
      </c>
      <c r="E5">
        <v>1.3</v>
      </c>
      <c r="F5">
        <f>D5+E5</f>
        <v>5.4666700000000006</v>
      </c>
    </row>
    <row r="6" spans="1:6">
      <c r="A6" t="s">
        <v>527</v>
      </c>
      <c r="B6">
        <v>1.9</v>
      </c>
      <c r="C6">
        <v>0</v>
      </c>
      <c r="D6">
        <f>B6*0.277778/(1-C6)</f>
        <v>0.52777819999999998</v>
      </c>
      <c r="E6">
        <v>0.1</v>
      </c>
      <c r="F6">
        <f>D6+E6</f>
        <v>0.62777819999999995</v>
      </c>
    </row>
    <row r="7" spans="1:6">
      <c r="A7" t="s">
        <v>528</v>
      </c>
      <c r="B7">
        <v>680</v>
      </c>
      <c r="C7">
        <v>0</v>
      </c>
      <c r="D7">
        <f>B7*0.277778/(1-C7)</f>
        <v>188.88904000000002</v>
      </c>
      <c r="E7">
        <v>18</v>
      </c>
      <c r="F7">
        <f>D7+E7</f>
        <v>206.88904000000002</v>
      </c>
    </row>
    <row r="8" spans="1:6">
      <c r="A8" t="s">
        <v>529</v>
      </c>
      <c r="B8">
        <v>560</v>
      </c>
      <c r="C8">
        <v>0</v>
      </c>
      <c r="D8">
        <f>B8*0.277778/(1-C8)</f>
        <v>155.55568000000002</v>
      </c>
      <c r="E8">
        <v>23</v>
      </c>
      <c r="F8">
        <f>D8+E8</f>
        <v>178.55568000000002</v>
      </c>
    </row>
    <row r="9" spans="1:6">
      <c r="A9" t="s">
        <v>530</v>
      </c>
      <c r="B9">
        <v>180</v>
      </c>
      <c r="C9">
        <v>0</v>
      </c>
      <c r="D9">
        <f>B9*0.277778/(1-C9)</f>
        <v>50.000040000000006</v>
      </c>
      <c r="E9">
        <v>13</v>
      </c>
      <c r="F9">
        <f>D9+E9</f>
        <v>63.000040000000006</v>
      </c>
    </row>
    <row r="10" spans="1:6">
      <c r="A10" t="s">
        <v>531</v>
      </c>
      <c r="B10">
        <v>22</v>
      </c>
      <c r="C10">
        <v>0</v>
      </c>
      <c r="D10">
        <f>B10*0.277778/(1-C10)</f>
        <v>6.1111160000000009</v>
      </c>
      <c r="E10">
        <v>1</v>
      </c>
      <c r="F10">
        <f>D10+E10</f>
        <v>7.1111160000000009</v>
      </c>
    </row>
    <row r="11" spans="1:6">
      <c r="A11" t="s">
        <v>532</v>
      </c>
      <c r="B11">
        <v>250</v>
      </c>
      <c r="C11">
        <v>0</v>
      </c>
      <c r="D11">
        <f>B11*0.277778/(1-C11)</f>
        <v>69.444500000000005</v>
      </c>
      <c r="E11">
        <v>18</v>
      </c>
      <c r="F11">
        <f>D11+E11</f>
        <v>87.444500000000005</v>
      </c>
    </row>
    <row r="12" spans="1:6">
      <c r="A12" t="s">
        <v>533</v>
      </c>
      <c r="B12">
        <v>40</v>
      </c>
      <c r="C12">
        <v>0</v>
      </c>
      <c r="D12">
        <f>B12*0.277778/(1-C12)</f>
        <v>11.111120000000001</v>
      </c>
      <c r="E12">
        <v>3.5</v>
      </c>
      <c r="F12">
        <f>D12+E12</f>
        <v>14.611120000000001</v>
      </c>
    </row>
    <row r="13" spans="1:6">
      <c r="A13" t="s">
        <v>534</v>
      </c>
      <c r="B13">
        <v>280</v>
      </c>
      <c r="C13">
        <v>0</v>
      </c>
      <c r="D13">
        <f>B13*0.277778/(1-C13)</f>
        <v>77.777840000000012</v>
      </c>
      <c r="E13">
        <v>28</v>
      </c>
      <c r="F13">
        <f>D13+E13</f>
        <v>105.77784000000001</v>
      </c>
    </row>
    <row r="14" spans="1:6">
      <c r="A14" t="s">
        <v>535</v>
      </c>
      <c r="B14">
        <v>780</v>
      </c>
      <c r="C14">
        <v>0</v>
      </c>
      <c r="D14">
        <f>B14*0.277778/(1-C14)</f>
        <v>216.66684000000001</v>
      </c>
      <c r="E14">
        <v>34</v>
      </c>
      <c r="F14">
        <f>D14+E14</f>
        <v>250.66684000000001</v>
      </c>
    </row>
    <row r="15" spans="1:6">
      <c r="A15" t="s">
        <v>541</v>
      </c>
      <c r="B15">
        <v>474</v>
      </c>
      <c r="C15">
        <v>4.1000000000000002E-2</v>
      </c>
      <c r="D15">
        <f>B15*0.277778/(1-C15)</f>
        <v>137.2959040667362</v>
      </c>
      <c r="E15">
        <v>16.100000000000001</v>
      </c>
      <c r="F15">
        <f>D15+E15</f>
        <v>153.39590406673619</v>
      </c>
    </row>
    <row r="16" spans="1:6">
      <c r="A16" t="s">
        <v>557</v>
      </c>
      <c r="B16">
        <v>347</v>
      </c>
      <c r="C16">
        <v>4.2000000000000003E-2</v>
      </c>
      <c r="D16">
        <f>B16*0.277778/(1-C16)</f>
        <v>100.61478705636745</v>
      </c>
      <c r="E16">
        <v>18.399999999999999</v>
      </c>
      <c r="F16">
        <f>D16+E16</f>
        <v>119.01478705636745</v>
      </c>
    </row>
    <row r="17" spans="1:6">
      <c r="A17" t="s">
        <v>4</v>
      </c>
      <c r="B17">
        <v>203</v>
      </c>
      <c r="C17">
        <v>4.2000000000000003E-2</v>
      </c>
      <c r="D17">
        <f>B17*0.277778/(1-C17)</f>
        <v>58.861100208768278</v>
      </c>
      <c r="E17">
        <v>14.7</v>
      </c>
      <c r="F17">
        <f>D17+E17</f>
        <v>73.561100208768281</v>
      </c>
    </row>
    <row r="18" spans="1:6">
      <c r="A18" t="s">
        <v>581</v>
      </c>
      <c r="B18">
        <v>116</v>
      </c>
      <c r="C18">
        <v>4.1000000000000002E-2</v>
      </c>
      <c r="D18">
        <f>B18*0.277778/(1-C18)</f>
        <v>33.599841501564129</v>
      </c>
      <c r="E18">
        <v>6.7</v>
      </c>
      <c r="F18">
        <f>D18+E18</f>
        <v>40.299841501564131</v>
      </c>
    </row>
    <row r="19" spans="1:6">
      <c r="A19" t="s">
        <v>536</v>
      </c>
      <c r="B19">
        <v>390</v>
      </c>
      <c r="C19">
        <v>4.1000000000000002E-2</v>
      </c>
      <c r="D19">
        <f>B19*0.277778/(1-C19)</f>
        <v>112.964984358707</v>
      </c>
      <c r="E19">
        <v>12.5</v>
      </c>
      <c r="F19">
        <f>D19+E19</f>
        <v>125.464984358707</v>
      </c>
    </row>
    <row r="20" spans="1:6">
      <c r="A20" t="s">
        <v>537</v>
      </c>
      <c r="B20">
        <v>411</v>
      </c>
      <c r="C20">
        <v>4.1000000000000002E-2</v>
      </c>
      <c r="D20">
        <f>B20*0.277778/(1-C20)</f>
        <v>119.04771428571431</v>
      </c>
      <c r="E20">
        <v>10</v>
      </c>
      <c r="F20">
        <f>D20+E20</f>
        <v>129.04771428571431</v>
      </c>
    </row>
    <row r="21" spans="1:6">
      <c r="A21" t="s">
        <v>538</v>
      </c>
      <c r="B21">
        <v>320</v>
      </c>
      <c r="C21">
        <v>4.1000000000000002E-2</v>
      </c>
      <c r="D21">
        <f>B21*0.277778/(1-C21)</f>
        <v>92.689217935349333</v>
      </c>
      <c r="E21">
        <v>11</v>
      </c>
      <c r="F21">
        <f>D21+E21</f>
        <v>103.68921793534933</v>
      </c>
    </row>
    <row r="22" spans="1:6">
      <c r="A22" t="s">
        <v>539</v>
      </c>
      <c r="B22">
        <v>337</v>
      </c>
      <c r="C22">
        <v>4.1000000000000002E-2</v>
      </c>
      <c r="D22">
        <f>B22*0.277778/(1-C22)</f>
        <v>97.613332638164763</v>
      </c>
      <c r="E22">
        <v>10.5</v>
      </c>
      <c r="F22">
        <f>D22+E22</f>
        <v>108.11333263816476</v>
      </c>
    </row>
    <row r="23" spans="1:6">
      <c r="A23" t="s">
        <v>540</v>
      </c>
      <c r="B23">
        <v>195</v>
      </c>
      <c r="C23">
        <v>4.1000000000000002E-2</v>
      </c>
      <c r="D23">
        <f>B23*0.277778/(1-C23)</f>
        <v>56.4824921793535</v>
      </c>
      <c r="E23">
        <v>11.5</v>
      </c>
      <c r="F23">
        <f>D23+E23</f>
        <v>67.9824921793535</v>
      </c>
    </row>
    <row r="24" spans="1:6">
      <c r="A24" t="s">
        <v>542</v>
      </c>
      <c r="B24">
        <v>175</v>
      </c>
      <c r="C24">
        <v>4.4999999999999998E-2</v>
      </c>
      <c r="D24">
        <f>B24*0.277778/(1-C24)</f>
        <v>50.901727748691101</v>
      </c>
      <c r="E24">
        <v>12</v>
      </c>
      <c r="F24">
        <f>D24+E24</f>
        <v>62.901727748691101</v>
      </c>
    </row>
    <row r="25" spans="1:6">
      <c r="A25" t="s">
        <v>543</v>
      </c>
      <c r="B25">
        <v>272</v>
      </c>
      <c r="C25">
        <v>0.04</v>
      </c>
      <c r="D25">
        <f>B25*0.277778/(1-C25)</f>
        <v>78.703766666666667</v>
      </c>
      <c r="E25">
        <v>14</v>
      </c>
      <c r="F25">
        <f>D25+E25</f>
        <v>92.703766666666667</v>
      </c>
    </row>
    <row r="26" spans="1:6">
      <c r="A26" t="s">
        <v>544</v>
      </c>
      <c r="B26">
        <v>356</v>
      </c>
      <c r="C26">
        <v>4.1000000000000002E-2</v>
      </c>
      <c r="D26">
        <f>B26*0.277778/(1-C26)</f>
        <v>103.11675495307612</v>
      </c>
      <c r="E26">
        <v>13.5</v>
      </c>
      <c r="F26">
        <f>D26+E26</f>
        <v>116.61675495307612</v>
      </c>
    </row>
    <row r="27" spans="1:6">
      <c r="A27" t="s">
        <v>545</v>
      </c>
      <c r="B27">
        <v>350</v>
      </c>
      <c r="C27">
        <v>4.1000000000000002E-2</v>
      </c>
      <c r="D27">
        <f>B27*0.277778/(1-C27)</f>
        <v>101.37883211678833</v>
      </c>
      <c r="E27">
        <v>11.5</v>
      </c>
      <c r="F27">
        <f>D27+E27</f>
        <v>112.87883211678833</v>
      </c>
    </row>
    <row r="28" spans="1:6">
      <c r="A28" t="s">
        <v>546</v>
      </c>
      <c r="B28">
        <v>600</v>
      </c>
      <c r="C28">
        <v>4.1000000000000002E-2</v>
      </c>
      <c r="D28">
        <f>B28*0.277778/(1-C28)</f>
        <v>173.79228362878001</v>
      </c>
      <c r="E28">
        <v>20</v>
      </c>
      <c r="F28">
        <f>D28+E28</f>
        <v>193.79228362878001</v>
      </c>
    </row>
    <row r="29" spans="1:6">
      <c r="A29" t="s">
        <v>547</v>
      </c>
      <c r="B29">
        <v>80</v>
      </c>
      <c r="C29">
        <v>4.1000000000000002E-2</v>
      </c>
      <c r="D29">
        <f>B29*0.277778/(1-C29)</f>
        <v>23.172304483837333</v>
      </c>
      <c r="E29">
        <v>3.5</v>
      </c>
      <c r="F29">
        <f>D29+E29</f>
        <v>26.672304483837333</v>
      </c>
    </row>
    <row r="30" spans="1:6">
      <c r="A30" t="s">
        <v>548</v>
      </c>
      <c r="B30">
        <v>330</v>
      </c>
      <c r="C30">
        <v>4.2000000000000003E-2</v>
      </c>
      <c r="D30">
        <f>B30*0.277778/(1-C30)</f>
        <v>95.685532359081421</v>
      </c>
      <c r="E30">
        <v>13</v>
      </c>
      <c r="F30">
        <f>D30+E30</f>
        <v>108.68553235908142</v>
      </c>
    </row>
    <row r="31" spans="1:6">
      <c r="A31" t="s">
        <v>549</v>
      </c>
      <c r="B31">
        <v>460</v>
      </c>
      <c r="C31">
        <v>4.2999999999999997E-2</v>
      </c>
      <c r="D31">
        <f>B31*0.277778/(1-C31)</f>
        <v>133.51920585161966</v>
      </c>
      <c r="E31">
        <v>17</v>
      </c>
      <c r="F31">
        <f>D31+E31</f>
        <v>150.51920585161966</v>
      </c>
    </row>
    <row r="32" spans="1:6">
      <c r="A32" t="s">
        <v>550</v>
      </c>
      <c r="B32">
        <v>310</v>
      </c>
      <c r="C32">
        <v>4.1000000000000002E-2</v>
      </c>
      <c r="D32">
        <f>B32*0.277778/(1-C32)</f>
        <v>89.792679874869663</v>
      </c>
      <c r="E32">
        <v>11</v>
      </c>
      <c r="F32">
        <f>D32+E32</f>
        <v>100.79267987486966</v>
      </c>
    </row>
    <row r="33" spans="1:6">
      <c r="A33" t="s">
        <v>551</v>
      </c>
      <c r="B33">
        <v>320</v>
      </c>
      <c r="C33">
        <v>4.1000000000000002E-2</v>
      </c>
      <c r="D33">
        <f>B33*0.277778/(1-C33)</f>
        <v>92.689217935349333</v>
      </c>
      <c r="E33">
        <v>11.5</v>
      </c>
      <c r="F33">
        <f>D33+E33</f>
        <v>104.18921793534933</v>
      </c>
    </row>
    <row r="34" spans="1:6">
      <c r="A34" t="s">
        <v>552</v>
      </c>
      <c r="B34">
        <v>510</v>
      </c>
      <c r="C34">
        <v>4.2999999999999997E-2</v>
      </c>
      <c r="D34">
        <f>B34*0.277778/(1-C34)</f>
        <v>148.0321630094044</v>
      </c>
      <c r="E34">
        <v>17.5</v>
      </c>
      <c r="F34">
        <f>D34+E34</f>
        <v>165.5321630094044</v>
      </c>
    </row>
    <row r="35" spans="1:6">
      <c r="A35" t="s">
        <v>553</v>
      </c>
      <c r="B35">
        <v>340</v>
      </c>
      <c r="C35">
        <v>4.1000000000000002E-2</v>
      </c>
      <c r="D35">
        <f>B35*0.277778/(1-C35)</f>
        <v>98.482294056308675</v>
      </c>
      <c r="E35">
        <v>12.5</v>
      </c>
      <c r="F35">
        <f>D35+E35</f>
        <v>110.98229405630867</v>
      </c>
    </row>
    <row r="36" spans="1:6">
      <c r="A36" t="s">
        <v>554</v>
      </c>
      <c r="B36">
        <v>120</v>
      </c>
      <c r="C36">
        <v>4.4999999999999998E-2</v>
      </c>
      <c r="D36">
        <f>B36*0.277778/(1-C36)</f>
        <v>34.904041884816763</v>
      </c>
      <c r="E36">
        <v>6</v>
      </c>
      <c r="F36">
        <f>D36+E36</f>
        <v>40.904041884816763</v>
      </c>
    </row>
    <row r="37" spans="1:6">
      <c r="A37" t="s">
        <v>555</v>
      </c>
      <c r="B37">
        <v>240</v>
      </c>
      <c r="C37">
        <v>0.04</v>
      </c>
      <c r="D37">
        <f>B37*0.277778/(1-C37)</f>
        <v>69.444500000000019</v>
      </c>
      <c r="E37">
        <v>11.5</v>
      </c>
      <c r="F37">
        <f>D37+E37</f>
        <v>80.944500000000019</v>
      </c>
    </row>
    <row r="38" spans="1:6">
      <c r="A38" t="s">
        <v>556</v>
      </c>
      <c r="B38">
        <v>245</v>
      </c>
      <c r="C38">
        <v>4.4999999999999998E-2</v>
      </c>
      <c r="D38">
        <f>B38*0.277778/(1-C38)</f>
        <v>71.262418848167542</v>
      </c>
      <c r="E38">
        <v>14</v>
      </c>
      <c r="F38">
        <f>D38+E38</f>
        <v>85.262418848167542</v>
      </c>
    </row>
    <row r="39" spans="1:6">
      <c r="A39" t="s">
        <v>558</v>
      </c>
      <c r="B39">
        <v>280</v>
      </c>
      <c r="C39">
        <v>4.1000000000000002E-2</v>
      </c>
      <c r="D39">
        <f>B39*0.277778/(1-C39)</f>
        <v>81.103065693430679</v>
      </c>
      <c r="E39">
        <v>10.5</v>
      </c>
      <c r="F39">
        <f>D39+E39</f>
        <v>91.603065693430679</v>
      </c>
    </row>
    <row r="40" spans="1:6">
      <c r="A40" t="s">
        <v>559</v>
      </c>
      <c r="B40">
        <v>350</v>
      </c>
      <c r="C40">
        <v>4.1000000000000002E-2</v>
      </c>
      <c r="D40">
        <f>B40*0.277778/(1-C40)</f>
        <v>101.37883211678833</v>
      </c>
      <c r="E40">
        <v>12</v>
      </c>
      <c r="F40">
        <f>D40+E40</f>
        <v>113.37883211678833</v>
      </c>
    </row>
    <row r="41" spans="1:6">
      <c r="A41" t="s">
        <v>560</v>
      </c>
      <c r="B41">
        <v>490</v>
      </c>
      <c r="C41">
        <v>4.1000000000000002E-2</v>
      </c>
      <c r="D41">
        <f>B41*0.277778/(1-C41)</f>
        <v>141.93036496350365</v>
      </c>
      <c r="E41">
        <v>16.5</v>
      </c>
      <c r="F41">
        <f>D41+E41</f>
        <v>158.43036496350365</v>
      </c>
    </row>
    <row r="42" spans="1:6">
      <c r="A42" t="s">
        <v>561</v>
      </c>
      <c r="B42">
        <v>220</v>
      </c>
      <c r="C42">
        <v>4.1000000000000002E-2</v>
      </c>
      <c r="D42">
        <f>B42*0.277778/(1-C42)</f>
        <v>63.723837330552669</v>
      </c>
      <c r="E42">
        <v>9.5</v>
      </c>
      <c r="F42">
        <f>D42+E42</f>
        <v>73.223837330552669</v>
      </c>
    </row>
    <row r="43" spans="1:6">
      <c r="A43" t="s">
        <v>562</v>
      </c>
      <c r="B43">
        <v>340</v>
      </c>
      <c r="C43">
        <v>4.1000000000000002E-2</v>
      </c>
      <c r="D43">
        <f>B43*0.277778/(1-C43)</f>
        <v>98.482294056308675</v>
      </c>
      <c r="E43">
        <v>11.5</v>
      </c>
      <c r="F43">
        <f>D43+E43</f>
        <v>109.98229405630867</v>
      </c>
    </row>
    <row r="44" spans="1:6">
      <c r="A44" t="s">
        <v>563</v>
      </c>
      <c r="B44">
        <v>270</v>
      </c>
      <c r="C44">
        <v>4.1000000000000002E-2</v>
      </c>
      <c r="D44">
        <f>B44*0.277778/(1-C44)</f>
        <v>78.206527632950994</v>
      </c>
      <c r="E44">
        <v>12</v>
      </c>
      <c r="F44">
        <f>D44+E44</f>
        <v>90.206527632950994</v>
      </c>
    </row>
    <row r="45" spans="1:6">
      <c r="A45" t="s">
        <v>564</v>
      </c>
      <c r="B45">
        <v>155</v>
      </c>
      <c r="C45">
        <v>4.4999999999999998E-2</v>
      </c>
      <c r="D45">
        <f>B45*0.277778/(1-C45)</f>
        <v>45.084387434554976</v>
      </c>
      <c r="E45">
        <v>8.5</v>
      </c>
      <c r="F45">
        <f>D45+E45</f>
        <v>53.584387434554976</v>
      </c>
    </row>
    <row r="46" spans="1:6">
      <c r="A46" t="s">
        <v>565</v>
      </c>
      <c r="B46">
        <v>190</v>
      </c>
      <c r="C46">
        <v>0.04</v>
      </c>
      <c r="D46">
        <f>B46*0.277778/(1-C46)</f>
        <v>54.976895833333344</v>
      </c>
      <c r="E46">
        <v>9</v>
      </c>
      <c r="F46">
        <f>D46+E46</f>
        <v>63.976895833333344</v>
      </c>
    </row>
    <row r="47" spans="1:6">
      <c r="A47" t="s">
        <v>566</v>
      </c>
      <c r="B47">
        <v>350</v>
      </c>
      <c r="C47">
        <v>4.1000000000000002E-2</v>
      </c>
      <c r="D47">
        <f>B47*0.277778/(1-C47)</f>
        <v>101.37883211678833</v>
      </c>
      <c r="E47">
        <v>13</v>
      </c>
      <c r="F47">
        <f>D47+E47</f>
        <v>114.37883211678833</v>
      </c>
    </row>
    <row r="48" spans="1:6">
      <c r="A48" t="s">
        <v>567</v>
      </c>
      <c r="B48">
        <v>255</v>
      </c>
      <c r="C48">
        <v>4.1000000000000002E-2</v>
      </c>
      <c r="D48">
        <f>B48*0.277778/(1-C48)</f>
        <v>73.86172054223151</v>
      </c>
      <c r="E48">
        <v>9.5</v>
      </c>
      <c r="F48">
        <f>D48+E48</f>
        <v>83.36172054223151</v>
      </c>
    </row>
    <row r="49" spans="1:6">
      <c r="A49" t="s">
        <v>568</v>
      </c>
      <c r="B49">
        <v>515</v>
      </c>
      <c r="C49">
        <v>4.1000000000000002E-2</v>
      </c>
      <c r="D49">
        <f>B49*0.277778/(1-C49)</f>
        <v>149.17171011470285</v>
      </c>
      <c r="E49">
        <v>14.5</v>
      </c>
      <c r="F49">
        <f>D49+E49</f>
        <v>163.67171011470285</v>
      </c>
    </row>
    <row r="50" spans="1:6">
      <c r="A50" t="s">
        <v>569</v>
      </c>
      <c r="B50">
        <v>400</v>
      </c>
      <c r="C50">
        <v>4.2999999999999997E-2</v>
      </c>
      <c r="D50">
        <f>B50*0.277778/(1-C50)</f>
        <v>116.10365726227796</v>
      </c>
      <c r="E50">
        <v>14</v>
      </c>
      <c r="F50">
        <f>D50+E50</f>
        <v>130.10365726227798</v>
      </c>
    </row>
    <row r="51" spans="1:6">
      <c r="A51" t="s">
        <v>570</v>
      </c>
      <c r="B51">
        <v>305</v>
      </c>
      <c r="C51">
        <v>4.1000000000000002E-2</v>
      </c>
      <c r="D51">
        <f>B51*0.277778/(1-C51)</f>
        <v>88.34441084462982</v>
      </c>
      <c r="E51">
        <v>11</v>
      </c>
      <c r="F51">
        <f>D51+E51</f>
        <v>99.34441084462982</v>
      </c>
    </row>
    <row r="52" spans="1:6">
      <c r="A52" t="s">
        <v>571</v>
      </c>
      <c r="B52">
        <v>100</v>
      </c>
      <c r="C52">
        <v>4.1000000000000002E-2</v>
      </c>
      <c r="D52">
        <f>B52*0.277778/(1-C52)</f>
        <v>28.965380604796668</v>
      </c>
      <c r="E52">
        <v>5</v>
      </c>
      <c r="F52">
        <f>D52+E52</f>
        <v>33.965380604796664</v>
      </c>
    </row>
    <row r="53" spans="1:6">
      <c r="A53" t="s">
        <v>572</v>
      </c>
      <c r="B53">
        <v>250</v>
      </c>
      <c r="C53">
        <v>0.04</v>
      </c>
      <c r="D53">
        <f>B53*0.277778/(1-C53)</f>
        <v>72.338020833333346</v>
      </c>
      <c r="E53">
        <v>10.5</v>
      </c>
      <c r="F53">
        <f>D53+E53</f>
        <v>82.838020833333346</v>
      </c>
    </row>
    <row r="54" spans="1:6">
      <c r="A54" t="s">
        <v>573</v>
      </c>
      <c r="B54">
        <v>230</v>
      </c>
      <c r="C54">
        <v>4.4999999999999998E-2</v>
      </c>
      <c r="D54">
        <f>B54*0.277778/(1-C54)</f>
        <v>66.899413612565453</v>
      </c>
      <c r="E54">
        <v>13.5</v>
      </c>
      <c r="F54">
        <f>D54+E54</f>
        <v>80.399413612565453</v>
      </c>
    </row>
    <row r="55" spans="1:6">
      <c r="A55" t="s">
        <v>574</v>
      </c>
      <c r="B55">
        <v>215</v>
      </c>
      <c r="C55">
        <v>4.1000000000000002E-2</v>
      </c>
      <c r="D55">
        <f>B55*0.277778/(1-C55)</f>
        <v>62.275568300312834</v>
      </c>
      <c r="E55">
        <v>7.5</v>
      </c>
      <c r="F55">
        <f>D55+E55</f>
        <v>69.775568300312841</v>
      </c>
    </row>
    <row r="56" spans="1:6">
      <c r="A56" t="s">
        <v>575</v>
      </c>
      <c r="B56">
        <v>130</v>
      </c>
      <c r="C56">
        <v>4.1000000000000002E-2</v>
      </c>
      <c r="D56">
        <f>B56*0.277778/(1-C56)</f>
        <v>37.654994786235669</v>
      </c>
      <c r="E56">
        <v>6</v>
      </c>
      <c r="F56">
        <f>D56+E56</f>
        <v>43.654994786235669</v>
      </c>
    </row>
    <row r="57" spans="1:6">
      <c r="A57" t="s">
        <v>576</v>
      </c>
      <c r="B57">
        <v>295</v>
      </c>
      <c r="C57">
        <v>4.1000000000000002E-2</v>
      </c>
      <c r="D57">
        <f>B57*0.277778/(1-C57)</f>
        <v>85.447872784150164</v>
      </c>
      <c r="E57">
        <v>9.5</v>
      </c>
      <c r="F57">
        <f>D57+E57</f>
        <v>94.947872784150164</v>
      </c>
    </row>
    <row r="58" spans="1:6">
      <c r="A58" t="s">
        <v>577</v>
      </c>
      <c r="B58">
        <v>334</v>
      </c>
      <c r="C58">
        <v>4.1000000000000002E-2</v>
      </c>
      <c r="D58">
        <f>B58*0.277778/(1-C58)</f>
        <v>96.744371220020867</v>
      </c>
      <c r="E58">
        <v>13</v>
      </c>
      <c r="F58">
        <f>D58+E58</f>
        <v>109.74437122002087</v>
      </c>
    </row>
    <row r="59" spans="1:6">
      <c r="A59" t="s">
        <v>578</v>
      </c>
      <c r="B59">
        <v>430</v>
      </c>
      <c r="C59">
        <v>4.1000000000000002E-2</v>
      </c>
      <c r="D59">
        <f>B59*0.277778/(1-C59)</f>
        <v>124.55113660062567</v>
      </c>
      <c r="E59">
        <v>14.5</v>
      </c>
      <c r="F59">
        <f>D59+E59</f>
        <v>139.05113660062568</v>
      </c>
    </row>
    <row r="60" spans="1:6">
      <c r="A60" t="s">
        <v>579</v>
      </c>
      <c r="B60">
        <v>16</v>
      </c>
      <c r="C60">
        <v>4.4999999999999998E-2</v>
      </c>
      <c r="D60">
        <f>B60*0.277778/(1-C60)</f>
        <v>4.6538722513089015</v>
      </c>
      <c r="E60">
        <v>2</v>
      </c>
      <c r="F60">
        <f>D60+E60</f>
        <v>6.6538722513089015</v>
      </c>
    </row>
    <row r="61" spans="1:6">
      <c r="A61" t="s">
        <v>580</v>
      </c>
      <c r="B61">
        <v>215</v>
      </c>
      <c r="C61">
        <v>4.1000000000000002E-2</v>
      </c>
      <c r="D61">
        <f>B61*0.277778/(1-C61)</f>
        <v>62.275568300312834</v>
      </c>
      <c r="E61">
        <v>8.5</v>
      </c>
      <c r="F61">
        <f>D61+E61</f>
        <v>70.775568300312841</v>
      </c>
    </row>
    <row r="62" spans="1:6">
      <c r="A62" t="s">
        <v>582</v>
      </c>
      <c r="B62">
        <v>590</v>
      </c>
      <c r="C62">
        <v>4.2999999999999997E-2</v>
      </c>
      <c r="D62">
        <f>B62*0.277778/(1-C62)</f>
        <v>171.25289446186</v>
      </c>
      <c r="E62">
        <v>15.5</v>
      </c>
      <c r="F62">
        <f>D62+E62</f>
        <v>186.75289446186</v>
      </c>
    </row>
    <row r="63" spans="1:6">
      <c r="A63" t="s">
        <v>583</v>
      </c>
      <c r="B63">
        <v>370</v>
      </c>
      <c r="C63">
        <v>4.1000000000000002E-2</v>
      </c>
      <c r="D63">
        <f>B63*0.277778/(1-C63)</f>
        <v>107.17190823774766</v>
      </c>
      <c r="E63">
        <v>13.5</v>
      </c>
      <c r="F63">
        <f>D63+E63</f>
        <v>120.67190823774766</v>
      </c>
    </row>
    <row r="64" spans="1:6">
      <c r="A64" t="s">
        <v>584</v>
      </c>
      <c r="B64">
        <v>590</v>
      </c>
      <c r="C64">
        <v>4.1000000000000002E-2</v>
      </c>
      <c r="D64">
        <f>B64*0.277778/(1-C64)</f>
        <v>170.89574556830033</v>
      </c>
      <c r="E64">
        <v>15</v>
      </c>
      <c r="F64">
        <f>D64+E64</f>
        <v>185.89574556830033</v>
      </c>
    </row>
    <row r="65" spans="1:6">
      <c r="A65" t="s">
        <v>585</v>
      </c>
      <c r="B65">
        <v>272</v>
      </c>
      <c r="C65">
        <v>0.04</v>
      </c>
      <c r="D65">
        <f>B65*0.277778/(1-C65)</f>
        <v>78.703766666666667</v>
      </c>
      <c r="E65">
        <v>14</v>
      </c>
      <c r="F65">
        <f>D65+E65</f>
        <v>92.703766666666667</v>
      </c>
    </row>
    <row r="66" spans="1:6">
      <c r="A66" t="s">
        <v>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82"/>
  <sheetViews>
    <sheetView workbookViewId="0">
      <pane ySplit="4" topLeftCell="A5" activePane="bottomLeft" state="frozen"/>
      <selection pane="bottomLeft"/>
    </sheetView>
  </sheetViews>
  <sheetFormatPr defaultRowHeight="15"/>
  <cols>
    <col min="1" max="2" width="14" customWidth="1"/>
    <col min="3" max="12" width="9" customWidth="1"/>
    <col min="13" max="13" width="50" customWidth="1"/>
    <col min="14" max="14" width="15" customWidth="1"/>
  </cols>
  <sheetData>
    <row r="1" spans="1:14" ht="20.100000000000001" customHeight="1">
      <c r="A1" s="31" t="s">
        <v>606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spans="1:14" ht="36" customHeight="1">
      <c r="A2" s="20" t="s">
        <v>607</v>
      </c>
      <c r="B2" s="20" t="s">
        <v>608</v>
      </c>
      <c r="C2" s="20" t="s">
        <v>609</v>
      </c>
      <c r="D2" s="20" t="s">
        <v>610</v>
      </c>
      <c r="E2" s="20" t="s">
        <v>611</v>
      </c>
      <c r="F2" s="20" t="s">
        <v>612</v>
      </c>
      <c r="G2" s="20" t="s">
        <v>613</v>
      </c>
      <c r="H2" s="20" t="s">
        <v>614</v>
      </c>
      <c r="I2" s="20" t="s">
        <v>615</v>
      </c>
      <c r="J2" s="20" t="s">
        <v>616</v>
      </c>
      <c r="K2" s="20" t="s">
        <v>617</v>
      </c>
      <c r="L2" s="20" t="s">
        <v>618</v>
      </c>
      <c r="M2" s="20" t="s">
        <v>619</v>
      </c>
      <c r="N2" s="20" t="s">
        <v>620</v>
      </c>
    </row>
    <row r="3" spans="1:14" ht="15.95" customHeight="1">
      <c r="A3" s="32" t="s">
        <v>621</v>
      </c>
      <c r="B3" s="30"/>
      <c r="C3" s="29" t="s">
        <v>622</v>
      </c>
      <c r="D3" s="30"/>
      <c r="E3" s="29" t="s">
        <v>623</v>
      </c>
      <c r="F3" s="30"/>
      <c r="G3" s="29" t="s">
        <v>624</v>
      </c>
      <c r="H3" s="30"/>
      <c r="I3" s="29" t="s">
        <v>625</v>
      </c>
      <c r="J3" s="30"/>
      <c r="K3" s="29" t="s">
        <v>626</v>
      </c>
      <c r="L3" s="30"/>
      <c r="M3" s="21"/>
      <c r="N3" s="21"/>
    </row>
    <row r="4" spans="1:14">
      <c r="A4" s="34" t="s">
        <v>627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>
      <c r="A5" s="22" t="s">
        <v>523</v>
      </c>
      <c r="B5" s="26">
        <v>0.7</v>
      </c>
      <c r="C5" s="23">
        <v>0.315</v>
      </c>
      <c r="D5" s="23">
        <v>0.215</v>
      </c>
      <c r="E5" s="23">
        <v>0.26600000000000001</v>
      </c>
      <c r="F5" s="23">
        <v>0.18099999999999999</v>
      </c>
      <c r="G5" s="23">
        <v>0.219</v>
      </c>
      <c r="H5" s="23">
        <v>0.14399999999999999</v>
      </c>
      <c r="I5" s="23">
        <v>0.11600000000000001</v>
      </c>
      <c r="J5" s="23">
        <v>8.1000000000000003E-2</v>
      </c>
      <c r="K5" s="23">
        <v>6.4000000000000001E-2</v>
      </c>
      <c r="L5" s="23">
        <v>0.04</v>
      </c>
      <c r="M5" s="22" t="s">
        <v>628</v>
      </c>
      <c r="N5" s="22"/>
    </row>
    <row r="6" spans="1:14">
      <c r="A6" s="22" t="s">
        <v>524</v>
      </c>
      <c r="B6" s="26">
        <v>14</v>
      </c>
      <c r="C6" s="23">
        <v>0.315</v>
      </c>
      <c r="D6" s="23">
        <v>0.215</v>
      </c>
      <c r="E6" s="23">
        <v>0.26600000000000001</v>
      </c>
      <c r="F6" s="23">
        <v>0.18099999999999999</v>
      </c>
      <c r="G6" s="23">
        <v>0.219</v>
      </c>
      <c r="H6" s="23">
        <v>0.14399999999999999</v>
      </c>
      <c r="I6" s="23">
        <v>0.11700000000000001</v>
      </c>
      <c r="J6" s="23">
        <v>8.2000000000000003E-2</v>
      </c>
      <c r="K6" s="23">
        <v>6.7000000000000004E-2</v>
      </c>
      <c r="L6" s="23">
        <v>4.2000000000000003E-2</v>
      </c>
      <c r="M6" s="22" t="s">
        <v>628</v>
      </c>
      <c r="N6" s="22"/>
    </row>
    <row r="7" spans="1:14">
      <c r="A7" s="22" t="s">
        <v>525</v>
      </c>
      <c r="B7" s="26">
        <v>158.80000000000001</v>
      </c>
      <c r="C7" s="23">
        <v>0.315</v>
      </c>
      <c r="D7" s="23">
        <v>0.215</v>
      </c>
      <c r="E7" s="23">
        <v>0.26600000000000001</v>
      </c>
      <c r="F7" s="23">
        <v>0.18099999999999999</v>
      </c>
      <c r="G7" s="23">
        <v>0.219</v>
      </c>
      <c r="H7" s="23">
        <v>0.14399999999999999</v>
      </c>
      <c r="I7" s="23">
        <v>0.123</v>
      </c>
      <c r="J7" s="23">
        <v>8.5999999999999993E-2</v>
      </c>
      <c r="K7" s="23">
        <v>8.2000000000000003E-2</v>
      </c>
      <c r="L7" s="23">
        <v>5.0999999999999997E-2</v>
      </c>
      <c r="M7" s="22" t="s">
        <v>628</v>
      </c>
      <c r="N7" s="22"/>
    </row>
    <row r="8" spans="1:14">
      <c r="A8" s="22" t="s">
        <v>526</v>
      </c>
      <c r="B8" s="26">
        <v>5.5</v>
      </c>
      <c r="C8" s="23">
        <v>0.315</v>
      </c>
      <c r="D8" s="23">
        <v>0.215</v>
      </c>
      <c r="E8" s="23">
        <v>0.26600000000000001</v>
      </c>
      <c r="F8" s="23">
        <v>0.18099999999999999</v>
      </c>
      <c r="G8" s="23">
        <v>0.219</v>
      </c>
      <c r="H8" s="23">
        <v>0.14399999999999999</v>
      </c>
      <c r="I8" s="23">
        <v>0.11600000000000001</v>
      </c>
      <c r="J8" s="23">
        <v>8.1000000000000003E-2</v>
      </c>
      <c r="K8" s="23">
        <v>6.4000000000000001E-2</v>
      </c>
      <c r="L8" s="23">
        <v>0.04</v>
      </c>
      <c r="M8" s="22" t="s">
        <v>628</v>
      </c>
      <c r="N8" s="22"/>
    </row>
    <row r="9" spans="1:14">
      <c r="A9" s="22" t="s">
        <v>527</v>
      </c>
      <c r="B9" s="26">
        <v>0.6</v>
      </c>
      <c r="C9" s="24">
        <v>0.315</v>
      </c>
      <c r="D9" s="24">
        <v>0.215</v>
      </c>
      <c r="E9" s="24">
        <v>0.26600000000000001</v>
      </c>
      <c r="F9" s="24">
        <v>0.18099999999999999</v>
      </c>
      <c r="G9" s="24">
        <v>0.219</v>
      </c>
      <c r="H9" s="24">
        <v>0.14399999999999999</v>
      </c>
      <c r="I9" s="24">
        <v>0.11600000000000001</v>
      </c>
      <c r="J9" s="24">
        <v>8.1000000000000003E-2</v>
      </c>
      <c r="K9" s="24">
        <v>6.4000000000000001E-2</v>
      </c>
      <c r="L9" s="24">
        <v>0.04</v>
      </c>
      <c r="M9" s="22" t="s">
        <v>629</v>
      </c>
      <c r="N9" s="22"/>
    </row>
    <row r="10" spans="1:14">
      <c r="A10" s="22" t="s">
        <v>528</v>
      </c>
      <c r="B10" s="26">
        <v>206.9</v>
      </c>
      <c r="C10" s="24">
        <v>0.315</v>
      </c>
      <c r="D10" s="24">
        <v>0.215</v>
      </c>
      <c r="E10" s="24">
        <v>0.26600000000000001</v>
      </c>
      <c r="F10" s="24">
        <v>0.18099999999999999</v>
      </c>
      <c r="G10" s="24">
        <v>0.219</v>
      </c>
      <c r="H10" s="24">
        <v>0.14399999999999999</v>
      </c>
      <c r="I10" s="24">
        <v>0.123</v>
      </c>
      <c r="J10" s="24">
        <v>8.5999999999999993E-2</v>
      </c>
      <c r="K10" s="24">
        <v>8.1000000000000003E-2</v>
      </c>
      <c r="L10" s="24">
        <v>0.05</v>
      </c>
      <c r="M10" s="22" t="s">
        <v>630</v>
      </c>
      <c r="N10" s="22"/>
    </row>
    <row r="11" spans="1:14">
      <c r="A11" s="22" t="s">
        <v>529</v>
      </c>
      <c r="B11" s="26">
        <v>178.6</v>
      </c>
      <c r="C11" s="24">
        <v>0.315</v>
      </c>
      <c r="D11" s="24">
        <v>0.215</v>
      </c>
      <c r="E11" s="24">
        <v>0.26600000000000001</v>
      </c>
      <c r="F11" s="24">
        <v>0.18099999999999999</v>
      </c>
      <c r="G11" s="24">
        <v>0.219</v>
      </c>
      <c r="H11" s="24">
        <v>0.14399999999999999</v>
      </c>
      <c r="I11" s="24">
        <v>0.123</v>
      </c>
      <c r="J11" s="24">
        <v>8.5999999999999993E-2</v>
      </c>
      <c r="K11" s="24">
        <v>8.1000000000000003E-2</v>
      </c>
      <c r="L11" s="24">
        <v>0.05</v>
      </c>
      <c r="M11" s="22" t="s">
        <v>630</v>
      </c>
      <c r="N11" s="22"/>
    </row>
    <row r="12" spans="1:14">
      <c r="A12" s="22" t="s">
        <v>530</v>
      </c>
      <c r="B12" s="26">
        <v>63</v>
      </c>
      <c r="C12" s="24">
        <v>0.315</v>
      </c>
      <c r="D12" s="24">
        <v>0.215</v>
      </c>
      <c r="E12" s="24">
        <v>0.26600000000000001</v>
      </c>
      <c r="F12" s="24">
        <v>0.18099999999999999</v>
      </c>
      <c r="G12" s="24">
        <v>0.219</v>
      </c>
      <c r="H12" s="24">
        <v>0.14399999999999999</v>
      </c>
      <c r="I12" s="24">
        <v>0.11899999999999999</v>
      </c>
      <c r="J12" s="24">
        <v>8.3000000000000004E-2</v>
      </c>
      <c r="K12" s="24">
        <v>7.0000000000000007E-2</v>
      </c>
      <c r="L12" s="24">
        <v>4.3999999999999997E-2</v>
      </c>
      <c r="M12" s="22" t="s">
        <v>631</v>
      </c>
      <c r="N12" s="22"/>
    </row>
    <row r="13" spans="1:14">
      <c r="A13" s="22" t="s">
        <v>531</v>
      </c>
      <c r="B13" s="26">
        <v>7.1</v>
      </c>
      <c r="C13" s="24">
        <v>0.315</v>
      </c>
      <c r="D13" s="24">
        <v>0.215</v>
      </c>
      <c r="E13" s="24">
        <v>0.26600000000000001</v>
      </c>
      <c r="F13" s="24">
        <v>0.18099999999999999</v>
      </c>
      <c r="G13" s="24">
        <v>0.219</v>
      </c>
      <c r="H13" s="24">
        <v>0.14399999999999999</v>
      </c>
      <c r="I13" s="24">
        <v>0.11600000000000001</v>
      </c>
      <c r="J13" s="24">
        <v>8.1000000000000003E-2</v>
      </c>
      <c r="K13" s="24">
        <v>6.4000000000000001E-2</v>
      </c>
      <c r="L13" s="24">
        <v>0.04</v>
      </c>
      <c r="M13" s="22" t="s">
        <v>632</v>
      </c>
      <c r="N13" s="22"/>
    </row>
    <row r="14" spans="1:14">
      <c r="A14" s="22" t="s">
        <v>532</v>
      </c>
      <c r="B14" s="26">
        <v>87.4</v>
      </c>
      <c r="C14" s="24">
        <v>0.315</v>
      </c>
      <c r="D14" s="24">
        <v>0.215</v>
      </c>
      <c r="E14" s="24">
        <v>0.26600000000000001</v>
      </c>
      <c r="F14" s="24">
        <v>0.18099999999999999</v>
      </c>
      <c r="G14" s="24">
        <v>0.219</v>
      </c>
      <c r="H14" s="24">
        <v>0.14399999999999999</v>
      </c>
      <c r="I14" s="24">
        <v>0.122</v>
      </c>
      <c r="J14" s="24">
        <v>8.5000000000000006E-2</v>
      </c>
      <c r="K14" s="24">
        <v>7.8E-2</v>
      </c>
      <c r="L14" s="24">
        <v>4.9000000000000002E-2</v>
      </c>
      <c r="M14" s="22" t="s">
        <v>633</v>
      </c>
      <c r="N14" s="22"/>
    </row>
    <row r="15" spans="1:14">
      <c r="A15" s="22" t="s">
        <v>533</v>
      </c>
      <c r="B15" s="26">
        <v>14.6</v>
      </c>
      <c r="C15" s="24">
        <v>0.315</v>
      </c>
      <c r="D15" s="24">
        <v>0.215</v>
      </c>
      <c r="E15" s="24">
        <v>0.26600000000000001</v>
      </c>
      <c r="F15" s="24">
        <v>0.18099999999999999</v>
      </c>
      <c r="G15" s="24">
        <v>0.219</v>
      </c>
      <c r="H15" s="24">
        <v>0.14399999999999999</v>
      </c>
      <c r="I15" s="24">
        <v>0.11799999999999999</v>
      </c>
      <c r="J15" s="24">
        <v>8.2000000000000003E-2</v>
      </c>
      <c r="K15" s="24">
        <v>6.8000000000000005E-2</v>
      </c>
      <c r="L15" s="24">
        <v>4.2000000000000003E-2</v>
      </c>
      <c r="M15" s="22" t="s">
        <v>634</v>
      </c>
      <c r="N15" s="22"/>
    </row>
    <row r="16" spans="1:14">
      <c r="A16" s="22" t="s">
        <v>534</v>
      </c>
      <c r="B16" s="26">
        <v>105.8</v>
      </c>
      <c r="C16" s="24">
        <v>0.315</v>
      </c>
      <c r="D16" s="24">
        <v>0.215</v>
      </c>
      <c r="E16" s="24">
        <v>0.26600000000000001</v>
      </c>
      <c r="F16" s="24">
        <v>0.18099999999999999</v>
      </c>
      <c r="G16" s="24">
        <v>0.219</v>
      </c>
      <c r="H16" s="24">
        <v>0.14399999999999999</v>
      </c>
      <c r="I16" s="24">
        <v>0.13100000000000001</v>
      </c>
      <c r="J16" s="24">
        <v>9.1999999999999998E-2</v>
      </c>
      <c r="K16" s="24">
        <v>0.10199999999999999</v>
      </c>
      <c r="L16" s="24">
        <v>6.3E-2</v>
      </c>
      <c r="M16" s="22" t="s">
        <v>635</v>
      </c>
      <c r="N16" s="22"/>
    </row>
    <row r="17" spans="1:14">
      <c r="A17" s="22" t="s">
        <v>535</v>
      </c>
      <c r="B17" s="26">
        <v>250.7</v>
      </c>
      <c r="C17" s="24">
        <v>0.315</v>
      </c>
      <c r="D17" s="24">
        <v>0.215</v>
      </c>
      <c r="E17" s="24">
        <v>0.26600000000000001</v>
      </c>
      <c r="F17" s="24">
        <v>0.18099999999999999</v>
      </c>
      <c r="G17" s="24">
        <v>0.219</v>
      </c>
      <c r="H17" s="24">
        <v>0.14399999999999999</v>
      </c>
      <c r="I17" s="24">
        <v>0.123</v>
      </c>
      <c r="J17" s="24">
        <v>8.5999999999999993E-2</v>
      </c>
      <c r="K17" s="24">
        <v>8.1000000000000003E-2</v>
      </c>
      <c r="L17" s="24">
        <v>0.05</v>
      </c>
      <c r="M17" s="22" t="s">
        <v>630</v>
      </c>
      <c r="N17" s="22"/>
    </row>
    <row r="18" spans="1:14">
      <c r="A18" s="33" t="s">
        <v>636</v>
      </c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</row>
    <row r="19" spans="1:14">
      <c r="A19" s="22" t="s">
        <v>541</v>
      </c>
      <c r="B19" s="26">
        <v>153.4</v>
      </c>
      <c r="C19" s="23">
        <v>0.315</v>
      </c>
      <c r="D19" s="23">
        <v>0.215</v>
      </c>
      <c r="E19" s="23">
        <v>0.26600000000000001</v>
      </c>
      <c r="F19" s="23">
        <v>0.18099999999999999</v>
      </c>
      <c r="G19" s="23">
        <v>0.219</v>
      </c>
      <c r="H19" s="23">
        <v>0.14399999999999999</v>
      </c>
      <c r="I19" s="23">
        <v>0.123</v>
      </c>
      <c r="J19" s="23">
        <v>8.5999999999999993E-2</v>
      </c>
      <c r="K19" s="23">
        <v>8.1000000000000003E-2</v>
      </c>
      <c r="L19" s="23">
        <v>0.05</v>
      </c>
      <c r="M19" s="22" t="s">
        <v>628</v>
      </c>
      <c r="N19" s="22"/>
    </row>
    <row r="20" spans="1:14">
      <c r="A20" s="22" t="s">
        <v>557</v>
      </c>
      <c r="B20" s="26">
        <v>119</v>
      </c>
      <c r="C20" s="23">
        <v>0.315</v>
      </c>
      <c r="D20" s="23">
        <v>0.215</v>
      </c>
      <c r="E20" s="23">
        <v>0.26600000000000001</v>
      </c>
      <c r="F20" s="23">
        <v>0.18099999999999999</v>
      </c>
      <c r="G20" s="23">
        <v>0.219</v>
      </c>
      <c r="H20" s="23">
        <v>0.14399999999999999</v>
      </c>
      <c r="I20" s="23">
        <v>0.14000000000000001</v>
      </c>
      <c r="J20" s="23">
        <v>9.8000000000000004E-2</v>
      </c>
      <c r="K20" s="23">
        <v>0.124</v>
      </c>
      <c r="L20" s="23">
        <v>7.6999999999999999E-2</v>
      </c>
      <c r="M20" s="22" t="s">
        <v>628</v>
      </c>
      <c r="N20" s="22"/>
    </row>
    <row r="21" spans="1:14">
      <c r="A21" s="22" t="s">
        <v>4</v>
      </c>
      <c r="B21" s="26">
        <v>73.599999999999994</v>
      </c>
      <c r="C21" s="23">
        <v>0.315</v>
      </c>
      <c r="D21" s="23">
        <v>0.215</v>
      </c>
      <c r="E21" s="23">
        <v>0.26600000000000001</v>
      </c>
      <c r="F21" s="23">
        <v>0.18099999999999999</v>
      </c>
      <c r="G21" s="23">
        <v>0.219</v>
      </c>
      <c r="H21" s="23">
        <v>0.14399999999999999</v>
      </c>
      <c r="I21" s="23">
        <v>0.11600000000000001</v>
      </c>
      <c r="J21" s="23">
        <v>8.1000000000000003E-2</v>
      </c>
      <c r="K21" s="23">
        <v>6.4000000000000001E-2</v>
      </c>
      <c r="L21" s="23">
        <v>0.04</v>
      </c>
      <c r="M21" s="22" t="s">
        <v>628</v>
      </c>
      <c r="N21" s="22"/>
    </row>
    <row r="22" spans="1:14">
      <c r="A22" s="22" t="s">
        <v>581</v>
      </c>
      <c r="B22" s="26">
        <v>40.299999999999997</v>
      </c>
      <c r="C22" s="23">
        <v>0.315</v>
      </c>
      <c r="D22" s="23">
        <v>0.215</v>
      </c>
      <c r="E22" s="23">
        <v>0.26600000000000001</v>
      </c>
      <c r="F22" s="23">
        <v>0.18099999999999999</v>
      </c>
      <c r="G22" s="23">
        <v>0.219</v>
      </c>
      <c r="H22" s="23">
        <v>0.14399999999999999</v>
      </c>
      <c r="I22" s="23">
        <v>0.123</v>
      </c>
      <c r="J22" s="23">
        <v>8.5999999999999993E-2</v>
      </c>
      <c r="K22" s="23">
        <v>8.1000000000000003E-2</v>
      </c>
      <c r="L22" s="23">
        <v>0.05</v>
      </c>
      <c r="M22" s="22" t="s">
        <v>628</v>
      </c>
      <c r="N22" s="22"/>
    </row>
    <row r="23" spans="1:14">
      <c r="A23" s="22" t="s">
        <v>536</v>
      </c>
      <c r="B23" s="26">
        <v>125.5</v>
      </c>
      <c r="C23" s="25">
        <v>0.315</v>
      </c>
      <c r="D23" s="25">
        <v>0.215</v>
      </c>
      <c r="E23" s="25">
        <v>0.26600000000000001</v>
      </c>
      <c r="F23" s="25">
        <v>0.18099999999999999</v>
      </c>
      <c r="G23" s="25">
        <v>0.219</v>
      </c>
      <c r="H23" s="25">
        <v>0.14399999999999999</v>
      </c>
      <c r="I23" s="25">
        <v>0.13300000000000001</v>
      </c>
      <c r="J23" s="25">
        <v>0.1</v>
      </c>
      <c r="K23" s="25">
        <v>0.13400000000000001</v>
      </c>
      <c r="L23" s="25">
        <v>8.3000000000000004E-2</v>
      </c>
      <c r="M23" s="22" t="s">
        <v>637</v>
      </c>
      <c r="N23" s="22"/>
    </row>
    <row r="24" spans="1:14">
      <c r="A24" s="22" t="s">
        <v>537</v>
      </c>
      <c r="B24" s="26">
        <v>129</v>
      </c>
      <c r="C24" s="25">
        <v>0.315</v>
      </c>
      <c r="D24" s="25">
        <v>0.215</v>
      </c>
      <c r="E24" s="25">
        <v>0.26600000000000001</v>
      </c>
      <c r="F24" s="25">
        <v>0.18099999999999999</v>
      </c>
      <c r="G24" s="25">
        <v>0.219</v>
      </c>
      <c r="H24" s="25">
        <v>0.14399999999999999</v>
      </c>
      <c r="I24" s="25">
        <v>0.13800000000000001</v>
      </c>
      <c r="J24" s="25">
        <v>0.106</v>
      </c>
      <c r="K24" s="25">
        <v>0.152</v>
      </c>
      <c r="L24" s="25">
        <v>9.5000000000000001E-2</v>
      </c>
      <c r="M24" s="22" t="s">
        <v>638</v>
      </c>
      <c r="N24" s="22"/>
    </row>
    <row r="25" spans="1:14">
      <c r="A25" s="22" t="s">
        <v>538</v>
      </c>
      <c r="B25" s="26">
        <v>103.7</v>
      </c>
      <c r="C25" s="25">
        <v>0.315</v>
      </c>
      <c r="D25" s="25">
        <v>0.215</v>
      </c>
      <c r="E25" s="25">
        <v>0.26600000000000001</v>
      </c>
      <c r="F25" s="25">
        <v>0.18099999999999999</v>
      </c>
      <c r="G25" s="25">
        <v>0.219</v>
      </c>
      <c r="H25" s="25">
        <v>0.14399999999999999</v>
      </c>
      <c r="I25" s="25">
        <v>0.11899999999999999</v>
      </c>
      <c r="J25" s="25">
        <v>8.5999999999999993E-2</v>
      </c>
      <c r="K25" s="25">
        <v>8.1000000000000003E-2</v>
      </c>
      <c r="L25" s="25">
        <v>0.05</v>
      </c>
      <c r="M25" s="22" t="s">
        <v>639</v>
      </c>
      <c r="N25" s="22"/>
    </row>
    <row r="26" spans="1:14">
      <c r="A26" s="22" t="s">
        <v>539</v>
      </c>
      <c r="B26" s="26">
        <v>108.1</v>
      </c>
      <c r="C26" s="25">
        <v>0.315</v>
      </c>
      <c r="D26" s="25">
        <v>0.215</v>
      </c>
      <c r="E26" s="25">
        <v>0.26600000000000001</v>
      </c>
      <c r="F26" s="25">
        <v>0.18099999999999999</v>
      </c>
      <c r="G26" s="25">
        <v>0.219</v>
      </c>
      <c r="H26" s="25">
        <v>0.14399999999999999</v>
      </c>
      <c r="I26" s="25">
        <v>0.13300000000000001</v>
      </c>
      <c r="J26" s="25">
        <v>0.1</v>
      </c>
      <c r="K26" s="25">
        <v>0.13400000000000001</v>
      </c>
      <c r="L26" s="25">
        <v>8.3000000000000004E-2</v>
      </c>
      <c r="M26" s="22" t="s">
        <v>637</v>
      </c>
      <c r="N26" s="22"/>
    </row>
    <row r="27" spans="1:14">
      <c r="A27" s="22" t="s">
        <v>540</v>
      </c>
      <c r="B27" s="26">
        <v>68</v>
      </c>
      <c r="C27" s="25">
        <v>0.315</v>
      </c>
      <c r="D27" s="25">
        <v>0.215</v>
      </c>
      <c r="E27" s="25">
        <v>0.26600000000000001</v>
      </c>
      <c r="F27" s="25">
        <v>0.18099999999999999</v>
      </c>
      <c r="G27" s="25">
        <v>0.219</v>
      </c>
      <c r="H27" s="25">
        <v>0.14399999999999999</v>
      </c>
      <c r="I27" s="25">
        <v>0.11899999999999999</v>
      </c>
      <c r="J27" s="25">
        <v>8.5999999999999993E-2</v>
      </c>
      <c r="K27" s="25">
        <v>8.1000000000000003E-2</v>
      </c>
      <c r="L27" s="25">
        <v>0.05</v>
      </c>
      <c r="M27" s="22" t="s">
        <v>639</v>
      </c>
      <c r="N27" s="22"/>
    </row>
    <row r="28" spans="1:14">
      <c r="A28" s="22" t="s">
        <v>542</v>
      </c>
      <c r="B28" s="26">
        <v>62.9</v>
      </c>
      <c r="C28" s="25">
        <v>0.315</v>
      </c>
      <c r="D28" s="25">
        <v>0.215</v>
      </c>
      <c r="E28" s="25">
        <v>0.26600000000000001</v>
      </c>
      <c r="F28" s="25">
        <v>0.18099999999999999</v>
      </c>
      <c r="G28" s="25">
        <v>0.219</v>
      </c>
      <c r="H28" s="25">
        <v>0.14399999999999999</v>
      </c>
      <c r="I28" s="25">
        <v>0.114</v>
      </c>
      <c r="J28" s="25">
        <v>8.1000000000000003E-2</v>
      </c>
      <c r="K28" s="25">
        <v>6.4000000000000001E-2</v>
      </c>
      <c r="L28" s="25">
        <v>0.04</v>
      </c>
      <c r="M28" s="22" t="s">
        <v>640</v>
      </c>
      <c r="N28" s="22"/>
    </row>
    <row r="29" spans="1:14">
      <c r="A29" s="22" t="s">
        <v>543</v>
      </c>
      <c r="B29" s="26">
        <v>92.7</v>
      </c>
      <c r="C29" s="25">
        <v>0.315</v>
      </c>
      <c r="D29" s="25">
        <v>0.215</v>
      </c>
      <c r="E29" s="25">
        <v>0.26600000000000001</v>
      </c>
      <c r="F29" s="25">
        <v>0.18099999999999999</v>
      </c>
      <c r="G29" s="25">
        <v>0.219</v>
      </c>
      <c r="H29" s="25">
        <v>0.14399999999999999</v>
      </c>
      <c r="I29" s="25">
        <v>0.13</v>
      </c>
      <c r="J29" s="25">
        <v>9.8000000000000004E-2</v>
      </c>
      <c r="K29" s="25">
        <v>0.124</v>
      </c>
      <c r="L29" s="25">
        <v>7.6999999999999999E-2</v>
      </c>
      <c r="M29" s="22" t="s">
        <v>641</v>
      </c>
      <c r="N29" s="22"/>
    </row>
    <row r="30" spans="1:14">
      <c r="A30" s="22" t="s">
        <v>544</v>
      </c>
      <c r="B30" s="26">
        <v>116.6</v>
      </c>
      <c r="C30" s="25">
        <v>0.315</v>
      </c>
      <c r="D30" s="25">
        <v>0.215</v>
      </c>
      <c r="E30" s="25">
        <v>0.26600000000000001</v>
      </c>
      <c r="F30" s="25">
        <v>0.18099999999999999</v>
      </c>
      <c r="G30" s="25">
        <v>0.219</v>
      </c>
      <c r="H30" s="25">
        <v>0.14399999999999999</v>
      </c>
      <c r="I30" s="25">
        <v>0.13200000000000001</v>
      </c>
      <c r="J30" s="25">
        <v>9.9000000000000005E-2</v>
      </c>
      <c r="K30" s="25">
        <v>0.13</v>
      </c>
      <c r="L30" s="25">
        <v>8.1000000000000003E-2</v>
      </c>
      <c r="M30" s="22" t="s">
        <v>642</v>
      </c>
      <c r="N30" s="22"/>
    </row>
    <row r="31" spans="1:14">
      <c r="A31" s="22" t="s">
        <v>545</v>
      </c>
      <c r="B31" s="26">
        <v>112.9</v>
      </c>
      <c r="C31" s="25">
        <v>0.315</v>
      </c>
      <c r="D31" s="25">
        <v>0.215</v>
      </c>
      <c r="E31" s="25">
        <v>0.26600000000000001</v>
      </c>
      <c r="F31" s="25">
        <v>0.18099999999999999</v>
      </c>
      <c r="G31" s="25">
        <v>0.219</v>
      </c>
      <c r="H31" s="25">
        <v>0.14399999999999999</v>
      </c>
      <c r="I31" s="25">
        <v>0.13300000000000001</v>
      </c>
      <c r="J31" s="25">
        <v>0.1</v>
      </c>
      <c r="K31" s="25">
        <v>0.13400000000000001</v>
      </c>
      <c r="L31" s="25">
        <v>8.3000000000000004E-2</v>
      </c>
      <c r="M31" s="22" t="s">
        <v>637</v>
      </c>
      <c r="N31" s="22"/>
    </row>
    <row r="32" spans="1:14">
      <c r="A32" s="22" t="s">
        <v>546</v>
      </c>
      <c r="B32" s="26">
        <v>193.8</v>
      </c>
      <c r="C32" s="25">
        <v>0.315</v>
      </c>
      <c r="D32" s="25">
        <v>0.215</v>
      </c>
      <c r="E32" s="25">
        <v>0.26600000000000001</v>
      </c>
      <c r="F32" s="25">
        <v>0.18099999999999999</v>
      </c>
      <c r="G32" s="25">
        <v>0.219</v>
      </c>
      <c r="H32" s="25">
        <v>0.14399999999999999</v>
      </c>
      <c r="I32" s="25">
        <v>0.16200000000000001</v>
      </c>
      <c r="J32" s="25">
        <v>0.129</v>
      </c>
      <c r="K32" s="25">
        <v>0.23599999999999999</v>
      </c>
      <c r="L32" s="25">
        <v>0.14699999999999999</v>
      </c>
      <c r="M32" s="22" t="s">
        <v>643</v>
      </c>
      <c r="N32" s="22"/>
    </row>
    <row r="33" spans="1:14">
      <c r="A33" s="22" t="s">
        <v>547</v>
      </c>
      <c r="B33" s="26">
        <v>26.7</v>
      </c>
      <c r="C33" s="25">
        <v>0.315</v>
      </c>
      <c r="D33" s="25">
        <v>0.215</v>
      </c>
      <c r="E33" s="25">
        <v>0.26600000000000001</v>
      </c>
      <c r="F33" s="25">
        <v>0.18099999999999999</v>
      </c>
      <c r="G33" s="25">
        <v>0.219</v>
      </c>
      <c r="H33" s="25">
        <v>0.14399999999999999</v>
      </c>
      <c r="I33" s="25">
        <v>0.11899999999999999</v>
      </c>
      <c r="J33" s="25">
        <v>8.5999999999999993E-2</v>
      </c>
      <c r="K33" s="25">
        <v>8.1000000000000003E-2</v>
      </c>
      <c r="L33" s="25">
        <v>0.05</v>
      </c>
      <c r="M33" s="22" t="s">
        <v>639</v>
      </c>
      <c r="N33" s="22"/>
    </row>
    <row r="34" spans="1:14">
      <c r="A34" s="22" t="s">
        <v>548</v>
      </c>
      <c r="B34" s="26">
        <v>108.7</v>
      </c>
      <c r="C34" s="25">
        <v>0.315</v>
      </c>
      <c r="D34" s="25">
        <v>0.215</v>
      </c>
      <c r="E34" s="25">
        <v>0.26600000000000001</v>
      </c>
      <c r="F34" s="25">
        <v>0.18099999999999999</v>
      </c>
      <c r="G34" s="25">
        <v>0.219</v>
      </c>
      <c r="H34" s="25">
        <v>0.14399999999999999</v>
      </c>
      <c r="I34" s="25">
        <v>0.13</v>
      </c>
      <c r="J34" s="25">
        <v>9.8000000000000004E-2</v>
      </c>
      <c r="K34" s="25">
        <v>0.124</v>
      </c>
      <c r="L34" s="25">
        <v>7.6999999999999999E-2</v>
      </c>
      <c r="M34" s="22" t="s">
        <v>641</v>
      </c>
      <c r="N34" s="22"/>
    </row>
    <row r="35" spans="1:14">
      <c r="A35" s="22" t="s">
        <v>549</v>
      </c>
      <c r="B35" s="26">
        <v>150.5</v>
      </c>
      <c r="C35" s="25">
        <v>0.315</v>
      </c>
      <c r="D35" s="25">
        <v>0.215</v>
      </c>
      <c r="E35" s="25">
        <v>0.26600000000000001</v>
      </c>
      <c r="F35" s="25">
        <v>0.18099999999999999</v>
      </c>
      <c r="G35" s="25">
        <v>0.219</v>
      </c>
      <c r="H35" s="25">
        <v>0.14399999999999999</v>
      </c>
      <c r="I35" s="25">
        <v>0.13</v>
      </c>
      <c r="J35" s="25">
        <v>9.8000000000000004E-2</v>
      </c>
      <c r="K35" s="25">
        <v>0.124</v>
      </c>
      <c r="L35" s="25">
        <v>7.6999999999999999E-2</v>
      </c>
      <c r="M35" s="22" t="s">
        <v>641</v>
      </c>
      <c r="N35" s="22"/>
    </row>
    <row r="36" spans="1:14">
      <c r="A36" s="22" t="s">
        <v>550</v>
      </c>
      <c r="B36" s="26">
        <v>100.8</v>
      </c>
      <c r="C36" s="25">
        <v>0.315</v>
      </c>
      <c r="D36" s="25">
        <v>0.215</v>
      </c>
      <c r="E36" s="25">
        <v>0.26600000000000001</v>
      </c>
      <c r="F36" s="25">
        <v>0.18099999999999999</v>
      </c>
      <c r="G36" s="25">
        <v>0.219</v>
      </c>
      <c r="H36" s="25">
        <v>0.14399999999999999</v>
      </c>
      <c r="I36" s="25">
        <v>0.13100000000000001</v>
      </c>
      <c r="J36" s="25">
        <v>9.8000000000000004E-2</v>
      </c>
      <c r="K36" s="25">
        <v>0.126</v>
      </c>
      <c r="L36" s="25">
        <v>7.8E-2</v>
      </c>
      <c r="M36" s="22" t="s">
        <v>644</v>
      </c>
      <c r="N36" s="22"/>
    </row>
    <row r="37" spans="1:14">
      <c r="A37" s="22" t="s">
        <v>551</v>
      </c>
      <c r="B37" s="26">
        <v>104.2</v>
      </c>
      <c r="C37" s="25">
        <v>0.315</v>
      </c>
      <c r="D37" s="25">
        <v>0.215</v>
      </c>
      <c r="E37" s="25">
        <v>0.26600000000000001</v>
      </c>
      <c r="F37" s="25">
        <v>0.18099999999999999</v>
      </c>
      <c r="G37" s="25">
        <v>0.219</v>
      </c>
      <c r="H37" s="25">
        <v>0.14399999999999999</v>
      </c>
      <c r="I37" s="25">
        <v>0.127</v>
      </c>
      <c r="J37" s="25">
        <v>9.5000000000000001E-2</v>
      </c>
      <c r="K37" s="25">
        <v>0.112</v>
      </c>
      <c r="L37" s="25">
        <v>7.0000000000000007E-2</v>
      </c>
      <c r="M37" s="22" t="s">
        <v>645</v>
      </c>
      <c r="N37" s="22"/>
    </row>
    <row r="38" spans="1:14">
      <c r="A38" s="22" t="s">
        <v>552</v>
      </c>
      <c r="B38" s="26">
        <v>165.5</v>
      </c>
      <c r="C38" s="25">
        <v>0.315</v>
      </c>
      <c r="D38" s="25">
        <v>0.215</v>
      </c>
      <c r="E38" s="25">
        <v>0.26600000000000001</v>
      </c>
      <c r="F38" s="25">
        <v>0.18099999999999999</v>
      </c>
      <c r="G38" s="25">
        <v>0.219</v>
      </c>
      <c r="H38" s="25">
        <v>0.14399999999999999</v>
      </c>
      <c r="I38" s="25">
        <v>0.13300000000000001</v>
      </c>
      <c r="J38" s="25">
        <v>0.1</v>
      </c>
      <c r="K38" s="25">
        <v>0.13400000000000001</v>
      </c>
      <c r="L38" s="25">
        <v>8.3000000000000004E-2</v>
      </c>
      <c r="M38" s="22" t="s">
        <v>637</v>
      </c>
      <c r="N38" s="22"/>
    </row>
    <row r="39" spans="1:14">
      <c r="A39" s="22" t="s">
        <v>553</v>
      </c>
      <c r="B39" s="26">
        <v>111</v>
      </c>
      <c r="C39" s="25">
        <v>0.315</v>
      </c>
      <c r="D39" s="25">
        <v>0.215</v>
      </c>
      <c r="E39" s="25">
        <v>0.26600000000000001</v>
      </c>
      <c r="F39" s="25">
        <v>0.18099999999999999</v>
      </c>
      <c r="G39" s="25">
        <v>0.219</v>
      </c>
      <c r="H39" s="25">
        <v>0.14399999999999999</v>
      </c>
      <c r="I39" s="25">
        <v>0.127</v>
      </c>
      <c r="J39" s="25">
        <v>9.5000000000000001E-2</v>
      </c>
      <c r="K39" s="25">
        <v>0.112</v>
      </c>
      <c r="L39" s="25">
        <v>7.0000000000000007E-2</v>
      </c>
      <c r="M39" s="22" t="s">
        <v>645</v>
      </c>
      <c r="N39" s="22"/>
    </row>
    <row r="40" spans="1:14">
      <c r="A40" s="22" t="s">
        <v>554</v>
      </c>
      <c r="B40" s="26">
        <v>40.9</v>
      </c>
      <c r="C40" s="25">
        <v>0.315</v>
      </c>
      <c r="D40" s="25">
        <v>0.215</v>
      </c>
      <c r="E40" s="25">
        <v>0.26600000000000001</v>
      </c>
      <c r="F40" s="25">
        <v>0.18099999999999999</v>
      </c>
      <c r="G40" s="25">
        <v>0.219</v>
      </c>
      <c r="H40" s="25">
        <v>0.14399999999999999</v>
      </c>
      <c r="I40" s="25">
        <v>0.114</v>
      </c>
      <c r="J40" s="25">
        <v>8.1000000000000003E-2</v>
      </c>
      <c r="K40" s="25">
        <v>6.4000000000000001E-2</v>
      </c>
      <c r="L40" s="25">
        <v>0.04</v>
      </c>
      <c r="M40" s="22" t="s">
        <v>640</v>
      </c>
      <c r="N40" s="22"/>
    </row>
    <row r="41" spans="1:14">
      <c r="A41" s="22" t="s">
        <v>555</v>
      </c>
      <c r="B41" s="26">
        <v>80.900000000000006</v>
      </c>
      <c r="C41" s="25">
        <v>0.315</v>
      </c>
      <c r="D41" s="25">
        <v>0.215</v>
      </c>
      <c r="E41" s="25">
        <v>0.26600000000000001</v>
      </c>
      <c r="F41" s="25">
        <v>0.18099999999999999</v>
      </c>
      <c r="G41" s="25">
        <v>0.219</v>
      </c>
      <c r="H41" s="25">
        <v>0.14399999999999999</v>
      </c>
      <c r="I41" s="25">
        <v>0.13</v>
      </c>
      <c r="J41" s="25">
        <v>9.8000000000000004E-2</v>
      </c>
      <c r="K41" s="25">
        <v>0.124</v>
      </c>
      <c r="L41" s="25">
        <v>7.6999999999999999E-2</v>
      </c>
      <c r="M41" s="22" t="s">
        <v>641</v>
      </c>
      <c r="N41" s="22"/>
    </row>
    <row r="42" spans="1:14">
      <c r="A42" s="22" t="s">
        <v>556</v>
      </c>
      <c r="B42" s="26">
        <v>85.3</v>
      </c>
      <c r="C42" s="25">
        <v>0.315</v>
      </c>
      <c r="D42" s="25">
        <v>0.215</v>
      </c>
      <c r="E42" s="25">
        <v>0.26600000000000001</v>
      </c>
      <c r="F42" s="25">
        <v>0.18099999999999999</v>
      </c>
      <c r="G42" s="25">
        <v>0.219</v>
      </c>
      <c r="H42" s="25">
        <v>0.14399999999999999</v>
      </c>
      <c r="I42" s="25">
        <v>0.114</v>
      </c>
      <c r="J42" s="25">
        <v>8.1000000000000003E-2</v>
      </c>
      <c r="K42" s="25">
        <v>6.4000000000000001E-2</v>
      </c>
      <c r="L42" s="25">
        <v>0.04</v>
      </c>
      <c r="M42" s="22" t="s">
        <v>640</v>
      </c>
      <c r="N42" s="22"/>
    </row>
    <row r="43" spans="1:14">
      <c r="A43" s="22" t="s">
        <v>558</v>
      </c>
      <c r="B43" s="26">
        <v>91.6</v>
      </c>
      <c r="C43" s="25">
        <v>0.315</v>
      </c>
      <c r="D43" s="25">
        <v>0.215</v>
      </c>
      <c r="E43" s="25">
        <v>0.26600000000000001</v>
      </c>
      <c r="F43" s="25">
        <v>0.18099999999999999</v>
      </c>
      <c r="G43" s="25">
        <v>0.219</v>
      </c>
      <c r="H43" s="25">
        <v>0.14399999999999999</v>
      </c>
      <c r="I43" s="25">
        <v>0.13100000000000001</v>
      </c>
      <c r="J43" s="25">
        <v>9.8000000000000004E-2</v>
      </c>
      <c r="K43" s="25">
        <v>0.126</v>
      </c>
      <c r="L43" s="25">
        <v>7.8E-2</v>
      </c>
      <c r="M43" s="22" t="s">
        <v>644</v>
      </c>
      <c r="N43" s="22"/>
    </row>
    <row r="44" spans="1:14">
      <c r="A44" s="22" t="s">
        <v>559</v>
      </c>
      <c r="B44" s="26">
        <v>113.4</v>
      </c>
      <c r="C44" s="25">
        <v>0.315</v>
      </c>
      <c r="D44" s="25">
        <v>0.215</v>
      </c>
      <c r="E44" s="25">
        <v>0.26600000000000001</v>
      </c>
      <c r="F44" s="25">
        <v>0.18099999999999999</v>
      </c>
      <c r="G44" s="25">
        <v>0.219</v>
      </c>
      <c r="H44" s="25">
        <v>0.14399999999999999</v>
      </c>
      <c r="I44" s="25">
        <v>0.13300000000000001</v>
      </c>
      <c r="J44" s="25">
        <v>0.1</v>
      </c>
      <c r="K44" s="25">
        <v>0.13400000000000001</v>
      </c>
      <c r="L44" s="25">
        <v>8.3000000000000004E-2</v>
      </c>
      <c r="M44" s="22" t="s">
        <v>637</v>
      </c>
      <c r="N44" s="22"/>
    </row>
    <row r="45" spans="1:14">
      <c r="A45" s="22" t="s">
        <v>560</v>
      </c>
      <c r="B45" s="26">
        <v>158.4</v>
      </c>
      <c r="C45" s="25">
        <v>0.315</v>
      </c>
      <c r="D45" s="25">
        <v>0.215</v>
      </c>
      <c r="E45" s="25">
        <v>0.26600000000000001</v>
      </c>
      <c r="F45" s="25">
        <v>0.18099999999999999</v>
      </c>
      <c r="G45" s="25">
        <v>0.219</v>
      </c>
      <c r="H45" s="25">
        <v>0.14399999999999999</v>
      </c>
      <c r="I45" s="25">
        <v>0.13300000000000001</v>
      </c>
      <c r="J45" s="25">
        <v>0.1</v>
      </c>
      <c r="K45" s="25">
        <v>0.13400000000000001</v>
      </c>
      <c r="L45" s="25">
        <v>8.3000000000000004E-2</v>
      </c>
      <c r="M45" s="22" t="s">
        <v>637</v>
      </c>
      <c r="N45" s="22"/>
    </row>
    <row r="46" spans="1:14">
      <c r="A46" s="22" t="s">
        <v>561</v>
      </c>
      <c r="B46" s="26">
        <v>73.2</v>
      </c>
      <c r="C46" s="25">
        <v>0.315</v>
      </c>
      <c r="D46" s="25">
        <v>0.215</v>
      </c>
      <c r="E46" s="25">
        <v>0.26600000000000001</v>
      </c>
      <c r="F46" s="25">
        <v>0.18099999999999999</v>
      </c>
      <c r="G46" s="25">
        <v>0.219</v>
      </c>
      <c r="H46" s="25">
        <v>0.14399999999999999</v>
      </c>
      <c r="I46" s="25">
        <v>0.11899999999999999</v>
      </c>
      <c r="J46" s="25">
        <v>8.5999999999999993E-2</v>
      </c>
      <c r="K46" s="25">
        <v>8.1000000000000003E-2</v>
      </c>
      <c r="L46" s="25">
        <v>0.05</v>
      </c>
      <c r="M46" s="22" t="s">
        <v>639</v>
      </c>
      <c r="N46" s="22"/>
    </row>
    <row r="47" spans="1:14">
      <c r="A47" s="22" t="s">
        <v>562</v>
      </c>
      <c r="B47" s="26">
        <v>110</v>
      </c>
      <c r="C47" s="25">
        <v>0.315</v>
      </c>
      <c r="D47" s="25">
        <v>0.215</v>
      </c>
      <c r="E47" s="25">
        <v>0.26600000000000001</v>
      </c>
      <c r="F47" s="25">
        <v>0.18099999999999999</v>
      </c>
      <c r="G47" s="25">
        <v>0.219</v>
      </c>
      <c r="H47" s="25">
        <v>0.14399999999999999</v>
      </c>
      <c r="I47" s="25">
        <v>0.13100000000000001</v>
      </c>
      <c r="J47" s="25">
        <v>9.8000000000000004E-2</v>
      </c>
      <c r="K47" s="25">
        <v>0.126</v>
      </c>
      <c r="L47" s="25">
        <v>7.8E-2</v>
      </c>
      <c r="M47" s="22" t="s">
        <v>644</v>
      </c>
      <c r="N47" s="22"/>
    </row>
    <row r="48" spans="1:14">
      <c r="A48" s="22" t="s">
        <v>563</v>
      </c>
      <c r="B48" s="26">
        <v>90.2</v>
      </c>
      <c r="C48" s="25">
        <v>0.315</v>
      </c>
      <c r="D48" s="25">
        <v>0.215</v>
      </c>
      <c r="E48" s="25">
        <v>0.26600000000000001</v>
      </c>
      <c r="F48" s="25">
        <v>0.18099999999999999</v>
      </c>
      <c r="G48" s="25">
        <v>0.219</v>
      </c>
      <c r="H48" s="25">
        <v>0.14399999999999999</v>
      </c>
      <c r="I48" s="25">
        <v>0.11899999999999999</v>
      </c>
      <c r="J48" s="25">
        <v>8.5999999999999993E-2</v>
      </c>
      <c r="K48" s="25">
        <v>8.1000000000000003E-2</v>
      </c>
      <c r="L48" s="25">
        <v>0.05</v>
      </c>
      <c r="M48" s="22" t="s">
        <v>639</v>
      </c>
      <c r="N48" s="22"/>
    </row>
    <row r="49" spans="1:14">
      <c r="A49" s="22" t="s">
        <v>564</v>
      </c>
      <c r="B49" s="26">
        <v>53.6</v>
      </c>
      <c r="C49" s="25">
        <v>0.315</v>
      </c>
      <c r="D49" s="25">
        <v>0.215</v>
      </c>
      <c r="E49" s="25">
        <v>0.26600000000000001</v>
      </c>
      <c r="F49" s="25">
        <v>0.18099999999999999</v>
      </c>
      <c r="G49" s="25">
        <v>0.219</v>
      </c>
      <c r="H49" s="25">
        <v>0.14399999999999999</v>
      </c>
      <c r="I49" s="25">
        <v>0.114</v>
      </c>
      <c r="J49" s="25">
        <v>8.1000000000000003E-2</v>
      </c>
      <c r="K49" s="25">
        <v>6.4000000000000001E-2</v>
      </c>
      <c r="L49" s="25">
        <v>0.04</v>
      </c>
      <c r="M49" s="22" t="s">
        <v>640</v>
      </c>
      <c r="N49" s="22"/>
    </row>
    <row r="50" spans="1:14">
      <c r="A50" s="22" t="s">
        <v>565</v>
      </c>
      <c r="B50" s="26">
        <v>64</v>
      </c>
      <c r="C50" s="25">
        <v>0.315</v>
      </c>
      <c r="D50" s="25">
        <v>0.215</v>
      </c>
      <c r="E50" s="25">
        <v>0.26600000000000001</v>
      </c>
      <c r="F50" s="25">
        <v>0.18099999999999999</v>
      </c>
      <c r="G50" s="25">
        <v>0.219</v>
      </c>
      <c r="H50" s="25">
        <v>0.14399999999999999</v>
      </c>
      <c r="I50" s="25">
        <v>0.13</v>
      </c>
      <c r="J50" s="25">
        <v>9.8000000000000004E-2</v>
      </c>
      <c r="K50" s="25">
        <v>0.124</v>
      </c>
      <c r="L50" s="25">
        <v>7.6999999999999999E-2</v>
      </c>
      <c r="M50" s="22" t="s">
        <v>641</v>
      </c>
      <c r="N50" s="22"/>
    </row>
    <row r="51" spans="1:14">
      <c r="A51" s="22" t="s">
        <v>566</v>
      </c>
      <c r="B51" s="26">
        <v>114.4</v>
      </c>
      <c r="C51" s="25">
        <v>0.315</v>
      </c>
      <c r="D51" s="25">
        <v>0.215</v>
      </c>
      <c r="E51" s="25">
        <v>0.26600000000000001</v>
      </c>
      <c r="F51" s="25">
        <v>0.18099999999999999</v>
      </c>
      <c r="G51" s="25">
        <v>0.219</v>
      </c>
      <c r="H51" s="25">
        <v>0.14399999999999999</v>
      </c>
      <c r="I51" s="25">
        <v>0.11899999999999999</v>
      </c>
      <c r="J51" s="25">
        <v>8.5999999999999993E-2</v>
      </c>
      <c r="K51" s="25">
        <v>8.1000000000000003E-2</v>
      </c>
      <c r="L51" s="25">
        <v>0.05</v>
      </c>
      <c r="M51" s="22" t="s">
        <v>639</v>
      </c>
      <c r="N51" s="22"/>
    </row>
    <row r="52" spans="1:14">
      <c r="A52" s="22" t="s">
        <v>567</v>
      </c>
      <c r="B52" s="26">
        <v>83.4</v>
      </c>
      <c r="C52" s="25">
        <v>0.315</v>
      </c>
      <c r="D52" s="25">
        <v>0.215</v>
      </c>
      <c r="E52" s="25">
        <v>0.26600000000000001</v>
      </c>
      <c r="F52" s="25">
        <v>0.18099999999999999</v>
      </c>
      <c r="G52" s="25">
        <v>0.219</v>
      </c>
      <c r="H52" s="25">
        <v>0.14399999999999999</v>
      </c>
      <c r="I52" s="25">
        <v>0.13300000000000001</v>
      </c>
      <c r="J52" s="25">
        <v>0.1</v>
      </c>
      <c r="K52" s="25">
        <v>0.13400000000000001</v>
      </c>
      <c r="L52" s="25">
        <v>8.3000000000000004E-2</v>
      </c>
      <c r="M52" s="22" t="s">
        <v>637</v>
      </c>
      <c r="N52" s="22"/>
    </row>
    <row r="53" spans="1:14">
      <c r="A53" s="22" t="s">
        <v>568</v>
      </c>
      <c r="B53" s="26">
        <v>163.69999999999999</v>
      </c>
      <c r="C53" s="25">
        <v>0.315</v>
      </c>
      <c r="D53" s="25">
        <v>0.215</v>
      </c>
      <c r="E53" s="25">
        <v>0.26600000000000001</v>
      </c>
      <c r="F53" s="25">
        <v>0.18099999999999999</v>
      </c>
      <c r="G53" s="25">
        <v>0.219</v>
      </c>
      <c r="H53" s="25">
        <v>0.14399999999999999</v>
      </c>
      <c r="I53" s="25">
        <v>0.13100000000000001</v>
      </c>
      <c r="J53" s="25">
        <v>9.8000000000000004E-2</v>
      </c>
      <c r="K53" s="25">
        <v>0.126</v>
      </c>
      <c r="L53" s="25">
        <v>7.8E-2</v>
      </c>
      <c r="M53" s="22" t="s">
        <v>644</v>
      </c>
      <c r="N53" s="22"/>
    </row>
    <row r="54" spans="1:14">
      <c r="A54" s="22" t="s">
        <v>569</v>
      </c>
      <c r="B54" s="26">
        <v>130.1</v>
      </c>
      <c r="C54" s="25">
        <v>0.315</v>
      </c>
      <c r="D54" s="25">
        <v>0.215</v>
      </c>
      <c r="E54" s="25">
        <v>0.26600000000000001</v>
      </c>
      <c r="F54" s="25">
        <v>0.18099999999999999</v>
      </c>
      <c r="G54" s="25">
        <v>0.219</v>
      </c>
      <c r="H54" s="25">
        <v>0.14399999999999999</v>
      </c>
      <c r="I54" s="25">
        <v>0.13</v>
      </c>
      <c r="J54" s="25">
        <v>9.8000000000000004E-2</v>
      </c>
      <c r="K54" s="25">
        <v>0.124</v>
      </c>
      <c r="L54" s="25">
        <v>7.6999999999999999E-2</v>
      </c>
      <c r="M54" s="22" t="s">
        <v>641</v>
      </c>
      <c r="N54" s="22"/>
    </row>
    <row r="55" spans="1:14">
      <c r="A55" s="22" t="s">
        <v>570</v>
      </c>
      <c r="B55" s="26">
        <v>99.3</v>
      </c>
      <c r="C55" s="25">
        <v>0.315</v>
      </c>
      <c r="D55" s="25">
        <v>0.215</v>
      </c>
      <c r="E55" s="25">
        <v>0.26600000000000001</v>
      </c>
      <c r="F55" s="25">
        <v>0.18099999999999999</v>
      </c>
      <c r="G55" s="25">
        <v>0.219</v>
      </c>
      <c r="H55" s="25">
        <v>0.14399999999999999</v>
      </c>
      <c r="I55" s="25">
        <v>0.127</v>
      </c>
      <c r="J55" s="25">
        <v>9.5000000000000001E-2</v>
      </c>
      <c r="K55" s="25">
        <v>0.112</v>
      </c>
      <c r="L55" s="25">
        <v>7.0000000000000007E-2</v>
      </c>
      <c r="M55" s="22" t="s">
        <v>645</v>
      </c>
      <c r="N55" s="22"/>
    </row>
    <row r="56" spans="1:14">
      <c r="A56" s="22" t="s">
        <v>571</v>
      </c>
      <c r="B56" s="26">
        <v>34</v>
      </c>
      <c r="C56" s="25">
        <v>0.315</v>
      </c>
      <c r="D56" s="25">
        <v>0.215</v>
      </c>
      <c r="E56" s="25">
        <v>0.26600000000000001</v>
      </c>
      <c r="F56" s="25">
        <v>0.18099999999999999</v>
      </c>
      <c r="G56" s="25">
        <v>0.219</v>
      </c>
      <c r="H56" s="25">
        <v>0.14399999999999999</v>
      </c>
      <c r="I56" s="25">
        <v>0.11899999999999999</v>
      </c>
      <c r="J56" s="25">
        <v>8.5999999999999993E-2</v>
      </c>
      <c r="K56" s="25">
        <v>8.1000000000000003E-2</v>
      </c>
      <c r="L56" s="25">
        <v>0.05</v>
      </c>
      <c r="M56" s="22" t="s">
        <v>639</v>
      </c>
      <c r="N56" s="22"/>
    </row>
    <row r="57" spans="1:14">
      <c r="A57" s="22" t="s">
        <v>572</v>
      </c>
      <c r="B57" s="26">
        <v>82.8</v>
      </c>
      <c r="C57" s="25">
        <v>0.315</v>
      </c>
      <c r="D57" s="25">
        <v>0.215</v>
      </c>
      <c r="E57" s="25">
        <v>0.26600000000000001</v>
      </c>
      <c r="F57" s="25">
        <v>0.18099999999999999</v>
      </c>
      <c r="G57" s="25">
        <v>0.219</v>
      </c>
      <c r="H57" s="25">
        <v>0.14399999999999999</v>
      </c>
      <c r="I57" s="25">
        <v>0.13</v>
      </c>
      <c r="J57" s="25">
        <v>9.8000000000000004E-2</v>
      </c>
      <c r="K57" s="25">
        <v>0.124</v>
      </c>
      <c r="L57" s="25">
        <v>7.6999999999999999E-2</v>
      </c>
      <c r="M57" s="22" t="s">
        <v>641</v>
      </c>
      <c r="N57" s="22"/>
    </row>
    <row r="58" spans="1:14">
      <c r="A58" s="22" t="s">
        <v>573</v>
      </c>
      <c r="B58" s="26">
        <v>80.400000000000006</v>
      </c>
      <c r="C58" s="25">
        <v>0.315</v>
      </c>
      <c r="D58" s="25">
        <v>0.215</v>
      </c>
      <c r="E58" s="25">
        <v>0.26600000000000001</v>
      </c>
      <c r="F58" s="25">
        <v>0.18099999999999999</v>
      </c>
      <c r="G58" s="25">
        <v>0.219</v>
      </c>
      <c r="H58" s="25">
        <v>0.14399999999999999</v>
      </c>
      <c r="I58" s="25">
        <v>0.114</v>
      </c>
      <c r="J58" s="25">
        <v>8.1000000000000003E-2</v>
      </c>
      <c r="K58" s="25">
        <v>6.4000000000000001E-2</v>
      </c>
      <c r="L58" s="25">
        <v>0.04</v>
      </c>
      <c r="M58" s="22" t="s">
        <v>640</v>
      </c>
      <c r="N58" s="22"/>
    </row>
    <row r="59" spans="1:14">
      <c r="A59" s="22" t="s">
        <v>574</v>
      </c>
      <c r="B59" s="26">
        <v>69.8</v>
      </c>
      <c r="C59" s="25">
        <v>0.315</v>
      </c>
      <c r="D59" s="25">
        <v>0.215</v>
      </c>
      <c r="E59" s="25">
        <v>0.26600000000000001</v>
      </c>
      <c r="F59" s="25">
        <v>0.18099999999999999</v>
      </c>
      <c r="G59" s="25">
        <v>0.219</v>
      </c>
      <c r="H59" s="25">
        <v>0.14399999999999999</v>
      </c>
      <c r="I59" s="25">
        <v>0.13300000000000001</v>
      </c>
      <c r="J59" s="25">
        <v>0.1</v>
      </c>
      <c r="K59" s="25">
        <v>0.13400000000000001</v>
      </c>
      <c r="L59" s="25">
        <v>8.3000000000000004E-2</v>
      </c>
      <c r="M59" s="22" t="s">
        <v>637</v>
      </c>
      <c r="N59" s="22"/>
    </row>
    <row r="60" spans="1:14">
      <c r="A60" s="22" t="s">
        <v>575</v>
      </c>
      <c r="B60" s="26">
        <v>65.900000000000006</v>
      </c>
      <c r="C60" s="25">
        <v>0.315</v>
      </c>
      <c r="D60" s="25">
        <v>0.215</v>
      </c>
      <c r="E60" s="25">
        <v>0.26600000000000001</v>
      </c>
      <c r="F60" s="25">
        <v>0.18099999999999999</v>
      </c>
      <c r="G60" s="25">
        <v>0.219</v>
      </c>
      <c r="H60" s="25">
        <v>0.14399999999999999</v>
      </c>
      <c r="I60" s="25">
        <v>0.13100000000000001</v>
      </c>
      <c r="J60" s="25">
        <v>9.8000000000000004E-2</v>
      </c>
      <c r="K60" s="25">
        <v>0.126</v>
      </c>
      <c r="L60" s="25">
        <v>7.8E-2</v>
      </c>
      <c r="M60" s="22" t="s">
        <v>644</v>
      </c>
      <c r="N60" s="22"/>
    </row>
    <row r="61" spans="1:14">
      <c r="A61" s="22" t="s">
        <v>576</v>
      </c>
      <c r="B61" s="26">
        <v>94.9</v>
      </c>
      <c r="C61" s="25">
        <v>0.315</v>
      </c>
      <c r="D61" s="25">
        <v>0.215</v>
      </c>
      <c r="E61" s="25">
        <v>0.26600000000000001</v>
      </c>
      <c r="F61" s="25">
        <v>0.18099999999999999</v>
      </c>
      <c r="G61" s="25">
        <v>0.219</v>
      </c>
      <c r="H61" s="25">
        <v>0.14399999999999999</v>
      </c>
      <c r="I61" s="25">
        <v>0.13300000000000001</v>
      </c>
      <c r="J61" s="25">
        <v>0.1</v>
      </c>
      <c r="K61" s="25">
        <v>0.13400000000000001</v>
      </c>
      <c r="L61" s="25">
        <v>8.3000000000000004E-2</v>
      </c>
      <c r="M61" s="22" t="s">
        <v>637</v>
      </c>
      <c r="N61" s="22"/>
    </row>
    <row r="62" spans="1:14">
      <c r="A62" s="22" t="s">
        <v>577</v>
      </c>
      <c r="B62" s="26">
        <v>109.7</v>
      </c>
      <c r="C62" s="25">
        <v>0.315</v>
      </c>
      <c r="D62" s="25">
        <v>0.215</v>
      </c>
      <c r="E62" s="25">
        <v>0.26600000000000001</v>
      </c>
      <c r="F62" s="25">
        <v>0.18099999999999999</v>
      </c>
      <c r="G62" s="25">
        <v>0.219</v>
      </c>
      <c r="H62" s="25">
        <v>0.14399999999999999</v>
      </c>
      <c r="I62" s="25">
        <v>0.124</v>
      </c>
      <c r="J62" s="25">
        <v>9.0999999999999998E-2</v>
      </c>
      <c r="K62" s="25">
        <v>0.1</v>
      </c>
      <c r="L62" s="25">
        <v>6.2E-2</v>
      </c>
      <c r="M62" s="22" t="s">
        <v>646</v>
      </c>
      <c r="N62" s="22"/>
    </row>
    <row r="63" spans="1:14">
      <c r="A63" s="22" t="s">
        <v>578</v>
      </c>
      <c r="B63" s="26">
        <v>139.1</v>
      </c>
      <c r="C63" s="25">
        <v>0.315</v>
      </c>
      <c r="D63" s="25">
        <v>0.215</v>
      </c>
      <c r="E63" s="25">
        <v>0.26600000000000001</v>
      </c>
      <c r="F63" s="25">
        <v>0.18099999999999999</v>
      </c>
      <c r="G63" s="25">
        <v>0.219</v>
      </c>
      <c r="H63" s="25">
        <v>0.14399999999999999</v>
      </c>
      <c r="I63" s="25">
        <v>0.11899999999999999</v>
      </c>
      <c r="J63" s="25">
        <v>8.5999999999999993E-2</v>
      </c>
      <c r="K63" s="25">
        <v>8.1000000000000003E-2</v>
      </c>
      <c r="L63" s="25">
        <v>0.05</v>
      </c>
      <c r="M63" s="22" t="s">
        <v>639</v>
      </c>
      <c r="N63" s="22"/>
    </row>
    <row r="64" spans="1:14">
      <c r="A64" s="22" t="s">
        <v>579</v>
      </c>
      <c r="B64" s="26">
        <v>6.7</v>
      </c>
      <c r="C64" s="25">
        <v>0.315</v>
      </c>
      <c r="D64" s="25">
        <v>0.215</v>
      </c>
      <c r="E64" s="25">
        <v>0.26600000000000001</v>
      </c>
      <c r="F64" s="25">
        <v>0.18099999999999999</v>
      </c>
      <c r="G64" s="25">
        <v>0.219</v>
      </c>
      <c r="H64" s="25">
        <v>0.14399999999999999</v>
      </c>
      <c r="I64" s="25">
        <v>0.114</v>
      </c>
      <c r="J64" s="25">
        <v>8.1000000000000003E-2</v>
      </c>
      <c r="K64" s="25">
        <v>6.4000000000000001E-2</v>
      </c>
      <c r="L64" s="25">
        <v>0.04</v>
      </c>
      <c r="M64" s="22" t="s">
        <v>640</v>
      </c>
      <c r="N64" s="22"/>
    </row>
    <row r="65" spans="1:14">
      <c r="A65" s="22" t="s">
        <v>580</v>
      </c>
      <c r="B65" s="26">
        <v>70.8</v>
      </c>
      <c r="C65" s="25">
        <v>0.315</v>
      </c>
      <c r="D65" s="25">
        <v>0.215</v>
      </c>
      <c r="E65" s="25">
        <v>0.26600000000000001</v>
      </c>
      <c r="F65" s="25">
        <v>0.18099999999999999</v>
      </c>
      <c r="G65" s="25">
        <v>0.219</v>
      </c>
      <c r="H65" s="25">
        <v>0.14399999999999999</v>
      </c>
      <c r="I65" s="25">
        <v>0.13</v>
      </c>
      <c r="J65" s="25">
        <v>9.8000000000000004E-2</v>
      </c>
      <c r="K65" s="25">
        <v>0.124</v>
      </c>
      <c r="L65" s="25">
        <v>7.6999999999999999E-2</v>
      </c>
      <c r="M65" s="22" t="s">
        <v>641</v>
      </c>
      <c r="N65" s="22"/>
    </row>
    <row r="66" spans="1:14">
      <c r="A66" s="22" t="s">
        <v>582</v>
      </c>
      <c r="B66" s="26">
        <v>186.8</v>
      </c>
      <c r="C66" s="25">
        <v>0.315</v>
      </c>
      <c r="D66" s="25">
        <v>0.215</v>
      </c>
      <c r="E66" s="25">
        <v>0.26600000000000001</v>
      </c>
      <c r="F66" s="25">
        <v>0.18099999999999999</v>
      </c>
      <c r="G66" s="25">
        <v>0.219</v>
      </c>
      <c r="H66" s="25">
        <v>0.14399999999999999</v>
      </c>
      <c r="I66" s="25">
        <v>0.13</v>
      </c>
      <c r="J66" s="25">
        <v>9.8000000000000004E-2</v>
      </c>
      <c r="K66" s="25">
        <v>0.124</v>
      </c>
      <c r="L66" s="25">
        <v>7.6999999999999999E-2</v>
      </c>
      <c r="M66" s="22" t="s">
        <v>641</v>
      </c>
      <c r="N66" s="22"/>
    </row>
    <row r="67" spans="1:14">
      <c r="A67" s="22" t="s">
        <v>583</v>
      </c>
      <c r="B67" s="26">
        <v>120.7</v>
      </c>
      <c r="C67" s="25">
        <v>0.315</v>
      </c>
      <c r="D67" s="25">
        <v>0.215</v>
      </c>
      <c r="E67" s="25">
        <v>0.26600000000000001</v>
      </c>
      <c r="F67" s="25">
        <v>0.18099999999999999</v>
      </c>
      <c r="G67" s="25">
        <v>0.219</v>
      </c>
      <c r="H67" s="25">
        <v>0.14399999999999999</v>
      </c>
      <c r="I67" s="25">
        <v>0.13100000000000001</v>
      </c>
      <c r="J67" s="25">
        <v>9.8000000000000004E-2</v>
      </c>
      <c r="K67" s="25">
        <v>0.126</v>
      </c>
      <c r="L67" s="25">
        <v>7.8E-2</v>
      </c>
      <c r="M67" s="22" t="s">
        <v>644</v>
      </c>
      <c r="N67" s="22"/>
    </row>
    <row r="68" spans="1:14">
      <c r="A68" s="22" t="s">
        <v>584</v>
      </c>
      <c r="B68" s="26">
        <v>185.9</v>
      </c>
      <c r="C68" s="25">
        <v>0.315</v>
      </c>
      <c r="D68" s="25">
        <v>0.215</v>
      </c>
      <c r="E68" s="25">
        <v>0.26600000000000001</v>
      </c>
      <c r="F68" s="25">
        <v>0.18099999999999999</v>
      </c>
      <c r="G68" s="25">
        <v>0.219</v>
      </c>
      <c r="H68" s="25">
        <v>0.14399999999999999</v>
      </c>
      <c r="I68" s="25">
        <v>0.11899999999999999</v>
      </c>
      <c r="J68" s="25">
        <v>8.5999999999999993E-2</v>
      </c>
      <c r="K68" s="25">
        <v>8.1000000000000003E-2</v>
      </c>
      <c r="L68" s="25">
        <v>0.05</v>
      </c>
      <c r="M68" s="22" t="s">
        <v>639</v>
      </c>
      <c r="N68" s="22"/>
    </row>
    <row r="69" spans="1:14">
      <c r="A69" s="22" t="s">
        <v>585</v>
      </c>
      <c r="B69" s="26">
        <v>92.7</v>
      </c>
      <c r="C69" s="25">
        <v>0.315</v>
      </c>
      <c r="D69" s="25">
        <v>0.215</v>
      </c>
      <c r="E69" s="25">
        <v>0.26600000000000001</v>
      </c>
      <c r="F69" s="25">
        <v>0.18099999999999999</v>
      </c>
      <c r="G69" s="25">
        <v>0.219</v>
      </c>
      <c r="H69" s="25">
        <v>0.14399999999999999</v>
      </c>
      <c r="I69" s="25">
        <v>0.13</v>
      </c>
      <c r="J69" s="25">
        <v>9.8000000000000004E-2</v>
      </c>
      <c r="K69" s="25">
        <v>0.124</v>
      </c>
      <c r="L69" s="25">
        <v>7.6999999999999999E-2</v>
      </c>
      <c r="M69" s="22" t="s">
        <v>641</v>
      </c>
      <c r="N69" s="22"/>
    </row>
    <row r="71" spans="1:14">
      <c r="A71" s="27" t="s">
        <v>647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</row>
    <row r="72" spans="1:14">
      <c r="A72" s="27" t="s">
        <v>648</v>
      </c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</row>
    <row r="73" spans="1:14">
      <c r="A73" s="27" t="s">
        <v>649</v>
      </c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</row>
    <row r="74" spans="1:14">
      <c r="A74" s="27" t="s">
        <v>650</v>
      </c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</row>
    <row r="75" spans="1:14">
      <c r="A75" s="27" t="s">
        <v>651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 spans="1:14">
      <c r="A76" s="27" t="s">
        <v>652</v>
      </c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</row>
    <row r="77" spans="1:14">
      <c r="A77" s="27" t="s">
        <v>653</v>
      </c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</row>
    <row r="78" spans="1:14">
      <c r="A78" s="27" t="s">
        <v>654</v>
      </c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</row>
    <row r="79" spans="1:14">
      <c r="A79" s="27" t="s">
        <v>655</v>
      </c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</row>
    <row r="80" spans="1:14">
      <c r="A80" s="27" t="s">
        <v>656</v>
      </c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</row>
    <row r="81" spans="1:14">
      <c r="A81" s="27" t="s">
        <v>657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 spans="1:14">
      <c r="A82" s="27" t="s">
        <v>658</v>
      </c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</row>
  </sheetData>
  <mergeCells count="21">
    <mergeCell ref="A82:N82"/>
    <mergeCell ref="A73:N73"/>
    <mergeCell ref="A1:N1"/>
    <mergeCell ref="A79:N79"/>
    <mergeCell ref="A78:N78"/>
    <mergeCell ref="A75:N75"/>
    <mergeCell ref="A3:B3"/>
    <mergeCell ref="G3:H3"/>
    <mergeCell ref="A80:N80"/>
    <mergeCell ref="I3:J3"/>
    <mergeCell ref="A18:N18"/>
    <mergeCell ref="A74:N74"/>
    <mergeCell ref="A76:N76"/>
    <mergeCell ref="A71:N71"/>
    <mergeCell ref="A4:N4"/>
    <mergeCell ref="A72:N72"/>
    <mergeCell ref="A81:N81"/>
    <mergeCell ref="C3:D3"/>
    <mergeCell ref="E3:F3"/>
    <mergeCell ref="K3:L3"/>
    <mergeCell ref="A77:N7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6"/>
  <sheetViews>
    <sheetView workbookViewId="0"/>
  </sheetViews>
  <sheetFormatPr defaultRowHeight="15"/>
  <sheetData>
    <row r="1" spans="1:2">
      <c r="A1" s="19" t="s">
        <v>521</v>
      </c>
      <c r="B1" s="19" t="s">
        <v>659</v>
      </c>
    </row>
    <row r="2" spans="1:2">
      <c r="A2" t="s">
        <v>523</v>
      </c>
      <c r="B2">
        <v>0.88</v>
      </c>
    </row>
    <row r="3" spans="1:2">
      <c r="A3" t="s">
        <v>524</v>
      </c>
      <c r="B3">
        <v>0.89</v>
      </c>
    </row>
    <row r="4" spans="1:2">
      <c r="A4" t="s">
        <v>525</v>
      </c>
      <c r="B4">
        <v>0.87</v>
      </c>
    </row>
    <row r="5" spans="1:2">
      <c r="A5" t="s">
        <v>526</v>
      </c>
      <c r="B5">
        <v>0.87</v>
      </c>
    </row>
    <row r="6" spans="1:2">
      <c r="A6" t="s">
        <v>527</v>
      </c>
      <c r="B6">
        <v>0.88</v>
      </c>
    </row>
    <row r="7" spans="1:2">
      <c r="A7" t="s">
        <v>528</v>
      </c>
      <c r="B7">
        <v>0.87</v>
      </c>
    </row>
    <row r="8" spans="1:2">
      <c r="A8" t="s">
        <v>529</v>
      </c>
      <c r="B8">
        <v>0.86</v>
      </c>
    </row>
    <row r="9" spans="1:2">
      <c r="A9" t="s">
        <v>530</v>
      </c>
      <c r="B9">
        <v>0.86</v>
      </c>
    </row>
    <row r="10" spans="1:2">
      <c r="A10" t="s">
        <v>531</v>
      </c>
      <c r="B10">
        <v>0.86</v>
      </c>
    </row>
    <row r="11" spans="1:2">
      <c r="A11" t="s">
        <v>532</v>
      </c>
      <c r="B11">
        <v>0.86</v>
      </c>
    </row>
    <row r="12" spans="1:2">
      <c r="A12" t="s">
        <v>533</v>
      </c>
      <c r="B12">
        <v>0.87</v>
      </c>
    </row>
    <row r="13" spans="1:2">
      <c r="A13" t="s">
        <v>534</v>
      </c>
      <c r="B13">
        <v>0.87</v>
      </c>
    </row>
    <row r="14" spans="1:2">
      <c r="A14" t="s">
        <v>535</v>
      </c>
      <c r="B14">
        <v>0.87</v>
      </c>
    </row>
    <row r="15" spans="1:2">
      <c r="A15" t="s">
        <v>541</v>
      </c>
      <c r="B15">
        <v>0.85</v>
      </c>
    </row>
    <row r="16" spans="1:2">
      <c r="A16" t="s">
        <v>557</v>
      </c>
      <c r="B16">
        <v>0.85</v>
      </c>
    </row>
    <row r="17" spans="1:2">
      <c r="A17" t="s">
        <v>4</v>
      </c>
      <c r="B17">
        <v>0.85</v>
      </c>
    </row>
    <row r="18" spans="1:2">
      <c r="A18" t="s">
        <v>581</v>
      </c>
      <c r="B18">
        <v>0.85</v>
      </c>
    </row>
    <row r="19" spans="1:2">
      <c r="A19" t="s">
        <v>536</v>
      </c>
      <c r="B19">
        <v>0.85</v>
      </c>
    </row>
    <row r="20" spans="1:2">
      <c r="A20" t="s">
        <v>537</v>
      </c>
      <c r="B20">
        <v>0.85</v>
      </c>
    </row>
    <row r="21" spans="1:2">
      <c r="A21" t="s">
        <v>538</v>
      </c>
      <c r="B21">
        <v>0.85</v>
      </c>
    </row>
    <row r="22" spans="1:2">
      <c r="A22" t="s">
        <v>539</v>
      </c>
      <c r="B22">
        <v>0.85</v>
      </c>
    </row>
    <row r="23" spans="1:2">
      <c r="A23" t="s">
        <v>540</v>
      </c>
      <c r="B23">
        <v>0.85</v>
      </c>
    </row>
    <row r="24" spans="1:2">
      <c r="A24" t="s">
        <v>542</v>
      </c>
      <c r="B24">
        <v>0.85</v>
      </c>
    </row>
    <row r="25" spans="1:2">
      <c r="A25" t="s">
        <v>543</v>
      </c>
      <c r="B25">
        <v>0.85</v>
      </c>
    </row>
    <row r="26" spans="1:2">
      <c r="A26" t="s">
        <v>544</v>
      </c>
      <c r="B26">
        <v>0.85</v>
      </c>
    </row>
    <row r="27" spans="1:2">
      <c r="A27" t="s">
        <v>545</v>
      </c>
      <c r="B27">
        <v>0.85</v>
      </c>
    </row>
    <row r="28" spans="1:2">
      <c r="A28" t="s">
        <v>546</v>
      </c>
      <c r="B28">
        <v>0.85</v>
      </c>
    </row>
    <row r="29" spans="1:2">
      <c r="A29" t="s">
        <v>547</v>
      </c>
      <c r="B29">
        <v>0.85</v>
      </c>
    </row>
    <row r="30" spans="1:2">
      <c r="A30" t="s">
        <v>548</v>
      </c>
      <c r="B30">
        <v>0.85</v>
      </c>
    </row>
    <row r="31" spans="1:2">
      <c r="A31" t="s">
        <v>549</v>
      </c>
      <c r="B31">
        <v>0.85</v>
      </c>
    </row>
    <row r="32" spans="1:2">
      <c r="A32" t="s">
        <v>550</v>
      </c>
      <c r="B32">
        <v>0.85</v>
      </c>
    </row>
    <row r="33" spans="1:2">
      <c r="A33" t="s">
        <v>551</v>
      </c>
      <c r="B33">
        <v>0.85</v>
      </c>
    </row>
    <row r="34" spans="1:2">
      <c r="A34" t="s">
        <v>552</v>
      </c>
      <c r="B34">
        <v>0.85</v>
      </c>
    </row>
    <row r="35" spans="1:2">
      <c r="A35" t="s">
        <v>553</v>
      </c>
      <c r="B35">
        <v>0.85</v>
      </c>
    </row>
    <row r="36" spans="1:2">
      <c r="A36" t="s">
        <v>554</v>
      </c>
      <c r="B36">
        <v>0.85</v>
      </c>
    </row>
    <row r="37" spans="1:2">
      <c r="A37" t="s">
        <v>555</v>
      </c>
      <c r="B37">
        <v>0.85</v>
      </c>
    </row>
    <row r="38" spans="1:2">
      <c r="A38" t="s">
        <v>556</v>
      </c>
      <c r="B38">
        <v>0.85</v>
      </c>
    </row>
    <row r="39" spans="1:2">
      <c r="A39" t="s">
        <v>558</v>
      </c>
      <c r="B39">
        <v>0.85</v>
      </c>
    </row>
    <row r="40" spans="1:2">
      <c r="A40" t="s">
        <v>559</v>
      </c>
      <c r="B40">
        <v>0.85</v>
      </c>
    </row>
    <row r="41" spans="1:2">
      <c r="A41" t="s">
        <v>560</v>
      </c>
      <c r="B41">
        <v>0.85</v>
      </c>
    </row>
    <row r="42" spans="1:2">
      <c r="A42" t="s">
        <v>561</v>
      </c>
      <c r="B42">
        <v>0.85</v>
      </c>
    </row>
    <row r="43" spans="1:2">
      <c r="A43" t="s">
        <v>562</v>
      </c>
      <c r="B43">
        <v>0.85</v>
      </c>
    </row>
    <row r="44" spans="1:2">
      <c r="A44" t="s">
        <v>563</v>
      </c>
      <c r="B44">
        <v>0.85</v>
      </c>
    </row>
    <row r="45" spans="1:2">
      <c r="A45" t="s">
        <v>564</v>
      </c>
      <c r="B45">
        <v>0.85</v>
      </c>
    </row>
    <row r="46" spans="1:2">
      <c r="A46" t="s">
        <v>565</v>
      </c>
      <c r="B46">
        <v>0.85</v>
      </c>
    </row>
    <row r="47" spans="1:2">
      <c r="A47" t="s">
        <v>566</v>
      </c>
      <c r="B47">
        <v>0.85</v>
      </c>
    </row>
    <row r="48" spans="1:2">
      <c r="A48" t="s">
        <v>567</v>
      </c>
      <c r="B48">
        <v>0.85</v>
      </c>
    </row>
    <row r="49" spans="1:2">
      <c r="A49" t="s">
        <v>568</v>
      </c>
      <c r="B49">
        <v>0.85</v>
      </c>
    </row>
    <row r="50" spans="1:2">
      <c r="A50" t="s">
        <v>569</v>
      </c>
      <c r="B50">
        <v>0.85</v>
      </c>
    </row>
    <row r="51" spans="1:2">
      <c r="A51" t="s">
        <v>570</v>
      </c>
      <c r="B51">
        <v>0.85</v>
      </c>
    </row>
    <row r="52" spans="1:2">
      <c r="A52" t="s">
        <v>571</v>
      </c>
      <c r="B52">
        <v>0.85</v>
      </c>
    </row>
    <row r="53" spans="1:2">
      <c r="A53" t="s">
        <v>572</v>
      </c>
      <c r="B53">
        <v>0.85</v>
      </c>
    </row>
    <row r="54" spans="1:2">
      <c r="A54" t="s">
        <v>573</v>
      </c>
      <c r="B54">
        <v>0.85</v>
      </c>
    </row>
    <row r="55" spans="1:2">
      <c r="A55" t="s">
        <v>574</v>
      </c>
      <c r="B55">
        <v>0.85</v>
      </c>
    </row>
    <row r="56" spans="1:2">
      <c r="A56" t="s">
        <v>575</v>
      </c>
      <c r="B56">
        <v>0.85</v>
      </c>
    </row>
    <row r="57" spans="1:2">
      <c r="A57" t="s">
        <v>576</v>
      </c>
      <c r="B57">
        <v>0.85</v>
      </c>
    </row>
    <row r="58" spans="1:2">
      <c r="A58" t="s">
        <v>577</v>
      </c>
      <c r="B58">
        <v>0.85</v>
      </c>
    </row>
    <row r="59" spans="1:2">
      <c r="A59" t="s">
        <v>578</v>
      </c>
      <c r="B59">
        <v>0.85</v>
      </c>
    </row>
    <row r="60" spans="1:2">
      <c r="A60" t="s">
        <v>579</v>
      </c>
      <c r="B60">
        <v>0.85</v>
      </c>
    </row>
    <row r="61" spans="1:2">
      <c r="A61" t="s">
        <v>580</v>
      </c>
      <c r="B61">
        <v>0.85</v>
      </c>
    </row>
    <row r="62" spans="1:2">
      <c r="A62" t="s">
        <v>582</v>
      </c>
      <c r="B62">
        <v>0.85</v>
      </c>
    </row>
    <row r="63" spans="1:2">
      <c r="A63" t="s">
        <v>583</v>
      </c>
      <c r="B63">
        <v>0.85</v>
      </c>
    </row>
    <row r="64" spans="1:2">
      <c r="A64" t="s">
        <v>584</v>
      </c>
      <c r="B64">
        <v>0.85</v>
      </c>
    </row>
    <row r="65" spans="1:2">
      <c r="A65" t="s">
        <v>585</v>
      </c>
      <c r="B65">
        <v>0.85</v>
      </c>
    </row>
    <row r="66" spans="1:2">
      <c r="A66" t="s">
        <v>660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66"/>
  <sheetViews>
    <sheetView workbookViewId="0"/>
  </sheetViews>
  <sheetFormatPr defaultRowHeight="15"/>
  <sheetData>
    <row r="1" spans="1:2">
      <c r="A1" s="19" t="s">
        <v>521</v>
      </c>
      <c r="B1" s="19" t="s">
        <v>661</v>
      </c>
    </row>
    <row r="2" spans="1:2">
      <c r="A2" t="s">
        <v>523</v>
      </c>
      <c r="B2">
        <v>1.9</v>
      </c>
    </row>
    <row r="3" spans="1:2">
      <c r="A3" t="s">
        <v>524</v>
      </c>
      <c r="B3">
        <v>1.9</v>
      </c>
    </row>
    <row r="4" spans="1:2">
      <c r="A4" t="s">
        <v>525</v>
      </c>
      <c r="B4">
        <v>1.9</v>
      </c>
    </row>
    <row r="5" spans="1:2">
      <c r="A5" t="s">
        <v>526</v>
      </c>
      <c r="B5">
        <v>1.9</v>
      </c>
    </row>
    <row r="6" spans="1:2">
      <c r="A6" t="s">
        <v>527</v>
      </c>
      <c r="B6">
        <v>1.9</v>
      </c>
    </row>
    <row r="7" spans="1:2">
      <c r="A7" t="s">
        <v>528</v>
      </c>
      <c r="B7">
        <v>1.9</v>
      </c>
    </row>
    <row r="8" spans="1:2">
      <c r="A8" t="s">
        <v>529</v>
      </c>
      <c r="B8">
        <v>1.9</v>
      </c>
    </row>
    <row r="9" spans="1:2">
      <c r="A9" t="s">
        <v>530</v>
      </c>
      <c r="B9">
        <v>1.9</v>
      </c>
    </row>
    <row r="10" spans="1:2">
      <c r="A10" t="s">
        <v>531</v>
      </c>
      <c r="B10">
        <v>1.9</v>
      </c>
    </row>
    <row r="11" spans="1:2">
      <c r="A11" t="s">
        <v>532</v>
      </c>
      <c r="B11">
        <v>1.9</v>
      </c>
    </row>
    <row r="12" spans="1:2">
      <c r="A12" t="s">
        <v>533</v>
      </c>
      <c r="B12">
        <v>1.9</v>
      </c>
    </row>
    <row r="13" spans="1:2">
      <c r="A13" t="s">
        <v>534</v>
      </c>
      <c r="B13">
        <v>1.9</v>
      </c>
    </row>
    <row r="14" spans="1:2">
      <c r="A14" t="s">
        <v>535</v>
      </c>
      <c r="B14">
        <v>1.9</v>
      </c>
    </row>
    <row r="15" spans="1:2">
      <c r="A15" t="s">
        <v>541</v>
      </c>
      <c r="B15">
        <v>2</v>
      </c>
    </row>
    <row r="16" spans="1:2">
      <c r="A16" t="s">
        <v>557</v>
      </c>
      <c r="B16">
        <v>2</v>
      </c>
    </row>
    <row r="17" spans="1:2">
      <c r="A17" t="s">
        <v>4</v>
      </c>
      <c r="B17">
        <v>2</v>
      </c>
    </row>
    <row r="18" spans="1:2">
      <c r="A18" t="s">
        <v>581</v>
      </c>
      <c r="B18">
        <v>2</v>
      </c>
    </row>
    <row r="19" spans="1:2">
      <c r="A19" t="s">
        <v>536</v>
      </c>
      <c r="B19">
        <v>2</v>
      </c>
    </row>
    <row r="20" spans="1:2">
      <c r="A20" t="s">
        <v>537</v>
      </c>
      <c r="B20">
        <v>2</v>
      </c>
    </row>
    <row r="21" spans="1:2">
      <c r="A21" t="s">
        <v>538</v>
      </c>
      <c r="B21">
        <v>2</v>
      </c>
    </row>
    <row r="22" spans="1:2">
      <c r="A22" t="s">
        <v>539</v>
      </c>
      <c r="B22">
        <v>2</v>
      </c>
    </row>
    <row r="23" spans="1:2">
      <c r="A23" t="s">
        <v>540</v>
      </c>
      <c r="B23">
        <v>2</v>
      </c>
    </row>
    <row r="24" spans="1:2">
      <c r="A24" t="s">
        <v>542</v>
      </c>
      <c r="B24">
        <v>2</v>
      </c>
    </row>
    <row r="25" spans="1:2">
      <c r="A25" t="s">
        <v>543</v>
      </c>
      <c r="B25">
        <v>2</v>
      </c>
    </row>
    <row r="26" spans="1:2">
      <c r="A26" t="s">
        <v>544</v>
      </c>
      <c r="B26">
        <v>2</v>
      </c>
    </row>
    <row r="27" spans="1:2">
      <c r="A27" t="s">
        <v>545</v>
      </c>
      <c r="B27">
        <v>2</v>
      </c>
    </row>
    <row r="28" spans="1:2">
      <c r="A28" t="s">
        <v>546</v>
      </c>
      <c r="B28">
        <v>2</v>
      </c>
    </row>
    <row r="29" spans="1:2">
      <c r="A29" t="s">
        <v>547</v>
      </c>
      <c r="B29">
        <v>2</v>
      </c>
    </row>
    <row r="30" spans="1:2">
      <c r="A30" t="s">
        <v>548</v>
      </c>
      <c r="B30">
        <v>2</v>
      </c>
    </row>
    <row r="31" spans="1:2">
      <c r="A31" t="s">
        <v>549</v>
      </c>
      <c r="B31">
        <v>2</v>
      </c>
    </row>
    <row r="32" spans="1:2">
      <c r="A32" t="s">
        <v>550</v>
      </c>
      <c r="B32">
        <v>2</v>
      </c>
    </row>
    <row r="33" spans="1:2">
      <c r="A33" t="s">
        <v>551</v>
      </c>
      <c r="B33">
        <v>2</v>
      </c>
    </row>
    <row r="34" spans="1:2">
      <c r="A34" t="s">
        <v>552</v>
      </c>
      <c r="B34">
        <v>2</v>
      </c>
    </row>
    <row r="35" spans="1:2">
      <c r="A35" t="s">
        <v>553</v>
      </c>
      <c r="B35">
        <v>2</v>
      </c>
    </row>
    <row r="36" spans="1:2">
      <c r="A36" t="s">
        <v>554</v>
      </c>
      <c r="B36">
        <v>2</v>
      </c>
    </row>
    <row r="37" spans="1:2">
      <c r="A37" t="s">
        <v>555</v>
      </c>
      <c r="B37">
        <v>2</v>
      </c>
    </row>
    <row r="38" spans="1:2">
      <c r="A38" t="s">
        <v>556</v>
      </c>
      <c r="B38">
        <v>2</v>
      </c>
    </row>
    <row r="39" spans="1:2">
      <c r="A39" t="s">
        <v>558</v>
      </c>
      <c r="B39">
        <v>2</v>
      </c>
    </row>
    <row r="40" spans="1:2">
      <c r="A40" t="s">
        <v>559</v>
      </c>
      <c r="B40">
        <v>2</v>
      </c>
    </row>
    <row r="41" spans="1:2">
      <c r="A41" t="s">
        <v>560</v>
      </c>
      <c r="B41">
        <v>2</v>
      </c>
    </row>
    <row r="42" spans="1:2">
      <c r="A42" t="s">
        <v>561</v>
      </c>
      <c r="B42">
        <v>2</v>
      </c>
    </row>
    <row r="43" spans="1:2">
      <c r="A43" t="s">
        <v>562</v>
      </c>
      <c r="B43">
        <v>2</v>
      </c>
    </row>
    <row r="44" spans="1:2">
      <c r="A44" t="s">
        <v>563</v>
      </c>
      <c r="B44">
        <v>2</v>
      </c>
    </row>
    <row r="45" spans="1:2">
      <c r="A45" t="s">
        <v>564</v>
      </c>
      <c r="B45">
        <v>2</v>
      </c>
    </row>
    <row r="46" spans="1:2">
      <c r="A46" t="s">
        <v>565</v>
      </c>
      <c r="B46">
        <v>2</v>
      </c>
    </row>
    <row r="47" spans="1:2">
      <c r="A47" t="s">
        <v>566</v>
      </c>
      <c r="B47">
        <v>2</v>
      </c>
    </row>
    <row r="48" spans="1:2">
      <c r="A48" t="s">
        <v>567</v>
      </c>
      <c r="B48">
        <v>2</v>
      </c>
    </row>
    <row r="49" spans="1:2">
      <c r="A49" t="s">
        <v>568</v>
      </c>
      <c r="B49">
        <v>2</v>
      </c>
    </row>
    <row r="50" spans="1:2">
      <c r="A50" t="s">
        <v>569</v>
      </c>
      <c r="B50">
        <v>2</v>
      </c>
    </row>
    <row r="51" spans="1:2">
      <c r="A51" t="s">
        <v>570</v>
      </c>
      <c r="B51">
        <v>2</v>
      </c>
    </row>
    <row r="52" spans="1:2">
      <c r="A52" t="s">
        <v>571</v>
      </c>
      <c r="B52">
        <v>2</v>
      </c>
    </row>
    <row r="53" spans="1:2">
      <c r="A53" t="s">
        <v>572</v>
      </c>
      <c r="B53">
        <v>2</v>
      </c>
    </row>
    <row r="54" spans="1:2">
      <c r="A54" t="s">
        <v>573</v>
      </c>
      <c r="B54">
        <v>2</v>
      </c>
    </row>
    <row r="55" spans="1:2">
      <c r="A55" t="s">
        <v>574</v>
      </c>
      <c r="B55">
        <v>2</v>
      </c>
    </row>
    <row r="56" spans="1:2">
      <c r="A56" t="s">
        <v>575</v>
      </c>
      <c r="B56">
        <v>2</v>
      </c>
    </row>
    <row r="57" spans="1:2">
      <c r="A57" t="s">
        <v>576</v>
      </c>
      <c r="B57">
        <v>2</v>
      </c>
    </row>
    <row r="58" spans="1:2">
      <c r="A58" t="s">
        <v>577</v>
      </c>
      <c r="B58">
        <v>2</v>
      </c>
    </row>
    <row r="59" spans="1:2">
      <c r="A59" t="s">
        <v>578</v>
      </c>
      <c r="B59">
        <v>2</v>
      </c>
    </row>
    <row r="60" spans="1:2">
      <c r="A60" t="s">
        <v>579</v>
      </c>
      <c r="B60">
        <v>2</v>
      </c>
    </row>
    <row r="61" spans="1:2">
      <c r="A61" t="s">
        <v>580</v>
      </c>
      <c r="B61">
        <v>2</v>
      </c>
    </row>
    <row r="62" spans="1:2">
      <c r="A62" t="s">
        <v>582</v>
      </c>
      <c r="B62">
        <v>2</v>
      </c>
    </row>
    <row r="63" spans="1:2">
      <c r="A63" t="s">
        <v>583</v>
      </c>
      <c r="B63">
        <v>2</v>
      </c>
    </row>
    <row r="64" spans="1:2">
      <c r="A64" t="s">
        <v>584</v>
      </c>
      <c r="B64">
        <v>2</v>
      </c>
    </row>
    <row r="65" spans="1:2">
      <c r="A65" t="s">
        <v>585</v>
      </c>
      <c r="B65">
        <v>2</v>
      </c>
    </row>
    <row r="66" spans="1:2">
      <c r="A66" t="s">
        <v>662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66"/>
  <sheetViews>
    <sheetView workbookViewId="0"/>
  </sheetViews>
  <sheetFormatPr defaultRowHeight="15"/>
  <sheetData>
    <row r="1" spans="1:12">
      <c r="A1" s="19" t="s">
        <v>521</v>
      </c>
      <c r="B1" s="19" t="s">
        <v>663</v>
      </c>
      <c r="C1" s="19" t="s">
        <v>664</v>
      </c>
      <c r="D1" s="19" t="s">
        <v>665</v>
      </c>
      <c r="E1" s="19" t="s">
        <v>666</v>
      </c>
      <c r="F1" s="19" t="s">
        <v>667</v>
      </c>
      <c r="G1" s="19" t="s">
        <v>668</v>
      </c>
      <c r="H1" s="19" t="s">
        <v>669</v>
      </c>
      <c r="I1" s="19" t="s">
        <v>670</v>
      </c>
      <c r="J1" s="19" t="s">
        <v>671</v>
      </c>
      <c r="K1" s="19" t="s">
        <v>672</v>
      </c>
      <c r="L1" s="19" t="s">
        <v>673</v>
      </c>
    </row>
    <row r="2" spans="1:12">
      <c r="A2" t="s">
        <v>523</v>
      </c>
      <c r="B2" t="s">
        <v>540</v>
      </c>
      <c r="C2">
        <v>0.443</v>
      </c>
      <c r="D2">
        <v>5.8999999999999997E-2</v>
      </c>
      <c r="E2">
        <v>0.374</v>
      </c>
      <c r="F2">
        <v>7.9000000000000001E-2</v>
      </c>
      <c r="G2">
        <v>4.4999999999999998E-2</v>
      </c>
      <c r="H2">
        <f>INDEX(P_EF_Elec!$F:$F,MATCH(A2,P_EF_Elec!$A:$A,0))</f>
        <v>0.6722226</v>
      </c>
      <c r="I2">
        <f>INDEX(P_GasEff!$B:$B,MATCH(A2,P_GasEff!$A:$A,0))</f>
        <v>0.88</v>
      </c>
      <c r="J2">
        <f>INDEX(P_HPcop!$B:$B,MATCH(A2,P_HPcop!$A:$A,0))</f>
        <v>1.9</v>
      </c>
      <c r="K2">
        <f>C2*(63.28/I2)+D2*(79.8/0.84)+E2*H2+F2*(H2/J2)+G2*(1.1/0.65)</f>
        <v>37.81624267938637</v>
      </c>
      <c r="L2">
        <f>C2/I2+D2/0.84+E2+F2/J2+G2/0.65</f>
        <v>1.0584569027463764</v>
      </c>
    </row>
    <row r="3" spans="1:12">
      <c r="A3" t="s">
        <v>524</v>
      </c>
      <c r="B3" t="s">
        <v>540</v>
      </c>
      <c r="C3">
        <v>0.443</v>
      </c>
      <c r="D3">
        <v>5.8999999999999997E-2</v>
      </c>
      <c r="E3">
        <v>0.374</v>
      </c>
      <c r="F3">
        <v>7.9000000000000001E-2</v>
      </c>
      <c r="G3">
        <v>4.4999999999999998E-2</v>
      </c>
      <c r="H3">
        <f>INDEX(P_EF_Elec!$F:$F,MATCH(A3,P_EF_Elec!$A:$A,0))</f>
        <v>13.955564000000001</v>
      </c>
      <c r="I3">
        <f>INDEX(P_GasEff!$B:$B,MATCH(A3,P_GasEff!$A:$A,0))</f>
        <v>0.89</v>
      </c>
      <c r="J3">
        <f>INDEX(P_HPcop!$B:$B,MATCH(A3,P_HPcop!$A:$A,0))</f>
        <v>1.9</v>
      </c>
      <c r="K3">
        <f>C3*(63.28/I3)+D3*(79.8/0.84)+E3*H3+F3*(H3/J3)+G3*(1.1/0.65)</f>
        <v>42.97859019601546</v>
      </c>
      <c r="L3">
        <f>C3/I3+D3/0.84+E3+F3/J3+G3/0.65</f>
        <v>1.0528006208260496</v>
      </c>
    </row>
    <row r="4" spans="1:12">
      <c r="A4" t="s">
        <v>525</v>
      </c>
      <c r="B4" t="s">
        <v>540</v>
      </c>
      <c r="C4">
        <v>0.443</v>
      </c>
      <c r="D4">
        <v>5.8999999999999997E-2</v>
      </c>
      <c r="E4">
        <v>0.374</v>
      </c>
      <c r="F4">
        <v>7.9000000000000001E-2</v>
      </c>
      <c r="G4">
        <v>4.4999999999999998E-2</v>
      </c>
      <c r="H4">
        <f>INDEX(P_EF_Elec!$F:$F,MATCH(A4,P_EF_Elec!$A:$A,0))</f>
        <v>158.81121999999999</v>
      </c>
      <c r="I4">
        <f>INDEX(P_GasEff!$B:$B,MATCH(A4,P_GasEff!$A:$A,0))</f>
        <v>0.87</v>
      </c>
      <c r="J4">
        <f>INDEX(P_HPcop!$B:$B,MATCH(A4,P_HPcop!$A:$A,0))</f>
        <v>1.9</v>
      </c>
      <c r="K4">
        <f>C4*(63.28/I4)+D4*(79.8/0.84)+E4*H4+F4*(H4/J4)+G4*(1.1/0.65)</f>
        <v>103.90163854151984</v>
      </c>
      <c r="L4">
        <f>C4/I4+D4/0.84+E4+F4/J4+G4/0.65</f>
        <v>1.0642432141361362</v>
      </c>
    </row>
    <row r="5" spans="1:12">
      <c r="A5" t="s">
        <v>526</v>
      </c>
      <c r="B5" t="s">
        <v>540</v>
      </c>
      <c r="C5">
        <v>0.443</v>
      </c>
      <c r="D5">
        <v>5.8999999999999997E-2</v>
      </c>
      <c r="E5">
        <v>0.374</v>
      </c>
      <c r="F5">
        <v>7.9000000000000001E-2</v>
      </c>
      <c r="G5">
        <v>4.4999999999999998E-2</v>
      </c>
      <c r="H5">
        <f>INDEX(P_EF_Elec!$F:$F,MATCH(A5,P_EF_Elec!$A:$A,0))</f>
        <v>5.4666700000000006</v>
      </c>
      <c r="I5">
        <f>INDEX(P_GasEff!$B:$B,MATCH(A5,P_GasEff!$A:$A,0))</f>
        <v>0.87</v>
      </c>
      <c r="J5">
        <f>INDEX(P_HPcop!$B:$B,MATCH(A5,P_HPcop!$A:$A,0))</f>
        <v>1.9</v>
      </c>
      <c r="K5">
        <f>C5*(63.28/I5)+D5*(79.8/0.84)+E5*H5+F5*(H5/J5)+G5*(1.1/0.65)</f>
        <v>40.174871867835634</v>
      </c>
      <c r="L5">
        <f>C5/I5+D5/0.84+E5+F5/J5+G5/0.65</f>
        <v>1.0642432141361362</v>
      </c>
    </row>
    <row r="6" spans="1:12">
      <c r="A6" t="s">
        <v>527</v>
      </c>
      <c r="B6" t="s">
        <v>540</v>
      </c>
      <c r="C6">
        <v>0.443</v>
      </c>
      <c r="D6">
        <v>5.8999999999999997E-2</v>
      </c>
      <c r="E6">
        <v>0.374</v>
      </c>
      <c r="F6">
        <v>7.9000000000000001E-2</v>
      </c>
      <c r="G6">
        <v>4.4999999999999998E-2</v>
      </c>
      <c r="H6">
        <f>INDEX(P_EF_Elec!$F:$F,MATCH(A6,P_EF_Elec!$A:$A,0))</f>
        <v>0.62777819999999995</v>
      </c>
      <c r="I6">
        <f>INDEX(P_GasEff!$B:$B,MATCH(A6,P_GasEff!$A:$A,0))</f>
        <v>0.88</v>
      </c>
      <c r="J6">
        <f>INDEX(P_HPcop!$B:$B,MATCH(A6,P_HPcop!$A:$A,0))</f>
        <v>1.9</v>
      </c>
      <c r="K6">
        <f>C6*(63.28/I6)+D6*(79.8/0.84)+E6*H6+F6*(H6/J6)+G6*(1.1/0.65)</f>
        <v>37.797772522417958</v>
      </c>
      <c r="L6">
        <f>C6/I6+D6/0.84+E6+F6/J6+G6/0.65</f>
        <v>1.0584569027463764</v>
      </c>
    </row>
    <row r="7" spans="1:12">
      <c r="A7" t="s">
        <v>528</v>
      </c>
      <c r="B7" t="s">
        <v>540</v>
      </c>
      <c r="C7">
        <v>0.443</v>
      </c>
      <c r="D7">
        <v>5.8999999999999997E-2</v>
      </c>
      <c r="E7">
        <v>0.374</v>
      </c>
      <c r="F7">
        <v>7.9000000000000001E-2</v>
      </c>
      <c r="G7">
        <v>4.4999999999999998E-2</v>
      </c>
      <c r="H7">
        <f>INDEX(P_EF_Elec!$F:$F,MATCH(A7,P_EF_Elec!$A:$A,0))</f>
        <v>206.88904000000002</v>
      </c>
      <c r="I7">
        <f>INDEX(P_GasEff!$B:$B,MATCH(A7,P_GasEff!$A:$A,0))</f>
        <v>0.87</v>
      </c>
      <c r="J7">
        <f>INDEX(P_HPcop!$B:$B,MATCH(A7,P_HPcop!$A:$A,0))</f>
        <v>1.9</v>
      </c>
      <c r="K7">
        <f>C7*(63.28/I7)+D7*(79.8/0.84)+E7*H7+F7*(H7/J7)+G7*(1.1/0.65)</f>
        <v>123.88176836888827</v>
      </c>
      <c r="L7">
        <f>C7/I7+D7/0.84+E7+F7/J7+G7/0.65</f>
        <v>1.0642432141361362</v>
      </c>
    </row>
    <row r="8" spans="1:12">
      <c r="A8" t="s">
        <v>529</v>
      </c>
      <c r="B8" t="s">
        <v>540</v>
      </c>
      <c r="C8">
        <v>0.443</v>
      </c>
      <c r="D8">
        <v>5.8999999999999997E-2</v>
      </c>
      <c r="E8">
        <v>0.374</v>
      </c>
      <c r="F8">
        <v>7.9000000000000001E-2</v>
      </c>
      <c r="G8">
        <v>4.4999999999999998E-2</v>
      </c>
      <c r="H8">
        <f>INDEX(P_EF_Elec!$F:$F,MATCH(A8,P_EF_Elec!$A:$A,0))</f>
        <v>178.55568000000002</v>
      </c>
      <c r="I8">
        <f>INDEX(P_GasEff!$B:$B,MATCH(A8,P_GasEff!$A:$A,0))</f>
        <v>0.86</v>
      </c>
      <c r="J8">
        <f>INDEX(P_HPcop!$B:$B,MATCH(A8,P_HPcop!$A:$A,0))</f>
        <v>1.9</v>
      </c>
      <c r="K8">
        <f>C8*(63.28/I8)+D8*(79.8/0.84)+E8*H8+F8*(H8/J8)+G8*(1.1/0.65)</f>
        <v>112.48169352674137</v>
      </c>
      <c r="L8">
        <f>C8/I8+D8/0.84+E8+F8/J8+G8/0.65</f>
        <v>1.0701640909070529</v>
      </c>
    </row>
    <row r="9" spans="1:12">
      <c r="A9" t="s">
        <v>530</v>
      </c>
      <c r="B9" t="s">
        <v>540</v>
      </c>
      <c r="C9">
        <v>0.443</v>
      </c>
      <c r="D9">
        <v>5.8999999999999997E-2</v>
      </c>
      <c r="E9">
        <v>0.374</v>
      </c>
      <c r="F9">
        <v>7.9000000000000001E-2</v>
      </c>
      <c r="G9">
        <v>4.4999999999999998E-2</v>
      </c>
      <c r="H9">
        <f>INDEX(P_EF_Elec!$F:$F,MATCH(A9,P_EF_Elec!$A:$A,0))</f>
        <v>63.000040000000006</v>
      </c>
      <c r="I9">
        <f>INDEX(P_GasEff!$B:$B,MATCH(A9,P_GasEff!$A:$A,0))</f>
        <v>0.86</v>
      </c>
      <c r="J9">
        <f>INDEX(P_HPcop!$B:$B,MATCH(A9,P_HPcop!$A:$A,0))</f>
        <v>1.9</v>
      </c>
      <c r="K9">
        <f>C9*(63.28/I9)+D9*(79.8/0.84)+E9*H9+F9*(H9/J9)+G9*(1.1/0.65)</f>
        <v>64.459202293057146</v>
      </c>
      <c r="L9">
        <f>C9/I9+D9/0.84+E9+F9/J9+G9/0.65</f>
        <v>1.0701640909070529</v>
      </c>
    </row>
    <row r="10" spans="1:12">
      <c r="A10" t="s">
        <v>531</v>
      </c>
      <c r="B10" t="s">
        <v>540</v>
      </c>
      <c r="C10">
        <v>0.443</v>
      </c>
      <c r="D10">
        <v>5.8999999999999997E-2</v>
      </c>
      <c r="E10">
        <v>0.374</v>
      </c>
      <c r="F10">
        <v>7.9000000000000001E-2</v>
      </c>
      <c r="G10">
        <v>4.4999999999999998E-2</v>
      </c>
      <c r="H10">
        <f>INDEX(P_EF_Elec!$F:$F,MATCH(A10,P_EF_Elec!$A:$A,0))</f>
        <v>7.1111160000000009</v>
      </c>
      <c r="I10">
        <f>INDEX(P_GasEff!$B:$B,MATCH(A10,P_GasEff!$A:$A,0))</f>
        <v>0.86</v>
      </c>
      <c r="J10">
        <f>INDEX(P_HPcop!$B:$B,MATCH(A10,P_HPcop!$A:$A,0))</f>
        <v>1.9</v>
      </c>
      <c r="K10">
        <f>C10*(63.28/I10)+D10*(79.8/0.84)+E10*H10+F10*(H10/J10)+G10*(1.1/0.65)</f>
        <v>41.232942087583467</v>
      </c>
      <c r="L10">
        <f>C10/I10+D10/0.84+E10+F10/J10+G10/0.65</f>
        <v>1.0701640909070529</v>
      </c>
    </row>
    <row r="11" spans="1:12">
      <c r="A11" t="s">
        <v>532</v>
      </c>
      <c r="B11" t="s">
        <v>540</v>
      </c>
      <c r="C11">
        <v>0.443</v>
      </c>
      <c r="D11">
        <v>5.8999999999999997E-2</v>
      </c>
      <c r="E11">
        <v>0.374</v>
      </c>
      <c r="F11">
        <v>7.9000000000000001E-2</v>
      </c>
      <c r="G11">
        <v>4.4999999999999998E-2</v>
      </c>
      <c r="H11">
        <f>INDEX(P_EF_Elec!$F:$F,MATCH(A11,P_EF_Elec!$A:$A,0))</f>
        <v>87.444500000000005</v>
      </c>
      <c r="I11">
        <f>INDEX(P_GasEff!$B:$B,MATCH(A11,P_GasEff!$A:$A,0))</f>
        <v>0.86</v>
      </c>
      <c r="J11">
        <f>INDEX(P_HPcop!$B:$B,MATCH(A11,P_HPcop!$A:$A,0))</f>
        <v>1.9</v>
      </c>
      <c r="K11">
        <f>C11*(63.28/I11)+D11*(79.8/0.84)+E11*H11+F11*(H11/J11)+G11*(1.1/0.65)</f>
        <v>74.617805248846622</v>
      </c>
      <c r="L11">
        <f>C11/I11+D11/0.84+E11+F11/J11+G11/0.65</f>
        <v>1.0701640909070529</v>
      </c>
    </row>
    <row r="12" spans="1:12">
      <c r="A12" t="s">
        <v>533</v>
      </c>
      <c r="B12" t="s">
        <v>540</v>
      </c>
      <c r="C12">
        <v>0.443</v>
      </c>
      <c r="D12">
        <v>5.8999999999999997E-2</v>
      </c>
      <c r="E12">
        <v>0.374</v>
      </c>
      <c r="F12">
        <v>7.9000000000000001E-2</v>
      </c>
      <c r="G12">
        <v>4.4999999999999998E-2</v>
      </c>
      <c r="H12">
        <f>INDEX(P_EF_Elec!$F:$F,MATCH(A12,P_EF_Elec!$A:$A,0))</f>
        <v>14.611120000000001</v>
      </c>
      <c r="I12">
        <f>INDEX(P_GasEff!$B:$B,MATCH(A12,P_GasEff!$A:$A,0))</f>
        <v>0.87</v>
      </c>
      <c r="J12">
        <f>INDEX(P_HPcop!$B:$B,MATCH(A12,P_HPcop!$A:$A,0))</f>
        <v>1.9</v>
      </c>
      <c r="K12">
        <f>C12*(63.28/I12)+D12*(79.8/0.84)+E12*H12+F12*(H12/J12)+G12*(1.1/0.65)</f>
        <v>43.975112773098793</v>
      </c>
      <c r="L12">
        <f>C12/I12+D12/0.84+E12+F12/J12+G12/0.65</f>
        <v>1.0642432141361362</v>
      </c>
    </row>
    <row r="13" spans="1:12">
      <c r="A13" t="s">
        <v>534</v>
      </c>
      <c r="B13" t="s">
        <v>540</v>
      </c>
      <c r="C13">
        <v>0.443</v>
      </c>
      <c r="D13">
        <v>5.8999999999999997E-2</v>
      </c>
      <c r="E13">
        <v>0.374</v>
      </c>
      <c r="F13">
        <v>7.9000000000000001E-2</v>
      </c>
      <c r="G13">
        <v>4.4999999999999998E-2</v>
      </c>
      <c r="H13">
        <f>INDEX(P_EF_Elec!$F:$F,MATCH(A13,P_EF_Elec!$A:$A,0))</f>
        <v>105.77784000000001</v>
      </c>
      <c r="I13">
        <f>INDEX(P_GasEff!$B:$B,MATCH(A13,P_GasEff!$A:$A,0))</f>
        <v>0.87</v>
      </c>
      <c r="J13">
        <f>INDEX(P_HPcop!$B:$B,MATCH(A13,P_HPcop!$A:$A,0))</f>
        <v>1.9</v>
      </c>
      <c r="K13">
        <f>C13*(63.28/I13)+D13*(79.8/0.84)+E13*H13+F13*(H13/J13)+G13*(1.1/0.65)</f>
        <v>81.862082305730382</v>
      </c>
      <c r="L13">
        <f>C13/I13+D13/0.84+E13+F13/J13+G13/0.65</f>
        <v>1.0642432141361362</v>
      </c>
    </row>
    <row r="14" spans="1:12">
      <c r="A14" t="s">
        <v>535</v>
      </c>
      <c r="B14" t="s">
        <v>540</v>
      </c>
      <c r="C14">
        <v>0.443</v>
      </c>
      <c r="D14">
        <v>5.8999999999999997E-2</v>
      </c>
      <c r="E14">
        <v>0.374</v>
      </c>
      <c r="F14">
        <v>7.9000000000000001E-2</v>
      </c>
      <c r="G14">
        <v>4.4999999999999998E-2</v>
      </c>
      <c r="H14">
        <f>INDEX(P_EF_Elec!$F:$F,MATCH(A14,P_EF_Elec!$A:$A,0))</f>
        <v>250.66684000000001</v>
      </c>
      <c r="I14">
        <f>INDEX(P_GasEff!$B:$B,MATCH(A14,P_GasEff!$A:$A,0))</f>
        <v>0.87</v>
      </c>
      <c r="J14">
        <f>INDEX(P_HPcop!$B:$B,MATCH(A14,P_HPcop!$A:$A,0))</f>
        <v>1.9</v>
      </c>
      <c r="K14">
        <f>C14*(63.28/I14)+D14*(79.8/0.84)+E14*H14+F14*(H14/J14)+G14*(1.1/0.65)</f>
        <v>142.07490041099354</v>
      </c>
      <c r="L14">
        <f>C14/I14+D14/0.84+E14+F14/J14+G14/0.65</f>
        <v>1.0642432141361362</v>
      </c>
    </row>
    <row r="15" spans="1:12">
      <c r="A15" t="s">
        <v>541</v>
      </c>
      <c r="B15" t="s">
        <v>674</v>
      </c>
      <c r="C15">
        <v>0.53300000000000003</v>
      </c>
      <c r="D15">
        <v>8.5999999999999993E-2</v>
      </c>
      <c r="E15">
        <v>0.216</v>
      </c>
      <c r="F15">
        <v>0.14599999999999999</v>
      </c>
      <c r="G15">
        <v>1.9E-2</v>
      </c>
      <c r="H15">
        <f>INDEX(P_EF_Elec!$F:$F,MATCH(A15,P_EF_Elec!$A:$A,0))</f>
        <v>153.39590406673619</v>
      </c>
      <c r="I15">
        <f>INDEX(P_GasEff!$B:$B,MATCH(A15,P_GasEff!$A:$A,0))</f>
        <v>0.85</v>
      </c>
      <c r="J15">
        <f>INDEX(P_HPcop!$B:$B,MATCH(A15,P_HPcop!$A:$A,0))</f>
        <v>2</v>
      </c>
      <c r="K15">
        <f>C15*(63.28/I15)+D15*(79.8/0.84)+E15*H15+F15*(H15/J15)+G15*(1.1/0.65)</f>
        <v>92.213852474381781</v>
      </c>
      <c r="L15">
        <f>C15/I15+D15/0.84+E15+F15/J15+G15/0.65</f>
        <v>1.0476705451411332</v>
      </c>
    </row>
    <row r="16" spans="1:12">
      <c r="A16" t="s">
        <v>557</v>
      </c>
      <c r="B16" t="s">
        <v>674</v>
      </c>
      <c r="C16">
        <v>0.53300000000000003</v>
      </c>
      <c r="D16">
        <v>8.5999999999999993E-2</v>
      </c>
      <c r="E16">
        <v>0.216</v>
      </c>
      <c r="F16">
        <v>0.14599999999999999</v>
      </c>
      <c r="G16">
        <v>1.9E-2</v>
      </c>
      <c r="H16">
        <f>INDEX(P_EF_Elec!$F:$F,MATCH(A16,P_EF_Elec!$A:$A,0))</f>
        <v>119.01478705636745</v>
      </c>
      <c r="I16">
        <f>INDEX(P_GasEff!$B:$B,MATCH(A16,P_GasEff!$A:$A,0))</f>
        <v>0.85</v>
      </c>
      <c r="J16">
        <f>INDEX(P_HPcop!$B:$B,MATCH(A16,P_HPcop!$A:$A,0))</f>
        <v>2</v>
      </c>
      <c r="K16">
        <f>C16*(63.28/I16)+D16*(79.8/0.84)+E16*H16+F16*(H16/J16)+G16*(1.1/0.65)</f>
        <v>82.27770965838522</v>
      </c>
      <c r="L16">
        <f>C16/I16+D16/0.84+E16+F16/J16+G16/0.65</f>
        <v>1.0476705451411332</v>
      </c>
    </row>
    <row r="17" spans="1:12">
      <c r="A17" t="s">
        <v>4</v>
      </c>
      <c r="B17" t="s">
        <v>674</v>
      </c>
      <c r="C17">
        <v>0.53300000000000003</v>
      </c>
      <c r="D17">
        <v>8.5999999999999993E-2</v>
      </c>
      <c r="E17">
        <v>0.216</v>
      </c>
      <c r="F17">
        <v>0.14599999999999999</v>
      </c>
      <c r="G17">
        <v>1.9E-2</v>
      </c>
      <c r="H17">
        <f>INDEX(P_EF_Elec!$F:$F,MATCH(A17,P_EF_Elec!$A:$A,0))</f>
        <v>73.561100208768281</v>
      </c>
      <c r="I17">
        <f>INDEX(P_GasEff!$B:$B,MATCH(A17,P_GasEff!$A:$A,0))</f>
        <v>0.85</v>
      </c>
      <c r="J17">
        <f>INDEX(P_HPcop!$B:$B,MATCH(A17,P_HPcop!$A:$A,0))</f>
        <v>2</v>
      </c>
      <c r="K17">
        <f>C17*(63.28/I17)+D17*(79.8/0.84)+E17*H17+F17*(H17/J17)+G17*(1.1/0.65)</f>
        <v>69.141594159429062</v>
      </c>
      <c r="L17">
        <f>C17/I17+D17/0.84+E17+F17/J17+G17/0.65</f>
        <v>1.0476705451411332</v>
      </c>
    </row>
    <row r="18" spans="1:12">
      <c r="A18" t="s">
        <v>581</v>
      </c>
      <c r="B18" t="s">
        <v>674</v>
      </c>
      <c r="C18">
        <v>0.53300000000000003</v>
      </c>
      <c r="D18">
        <v>8.5999999999999993E-2</v>
      </c>
      <c r="E18">
        <v>0.216</v>
      </c>
      <c r="F18">
        <v>0.14599999999999999</v>
      </c>
      <c r="G18">
        <v>1.9E-2</v>
      </c>
      <c r="H18">
        <f>INDEX(P_EF_Elec!$F:$F,MATCH(A18,P_EF_Elec!$A:$A,0))</f>
        <v>40.299841501564131</v>
      </c>
      <c r="I18">
        <f>INDEX(P_GasEff!$B:$B,MATCH(A18,P_GasEff!$A:$A,0))</f>
        <v>0.85</v>
      </c>
      <c r="J18">
        <f>INDEX(P_HPcop!$B:$B,MATCH(A18,P_HPcop!$A:$A,0))</f>
        <v>2</v>
      </c>
      <c r="K18">
        <f>C18*(63.28/I18)+D18*(79.8/0.84)+E18*H18+F18*(H18/J18)+G18*(1.1/0.65)</f>
        <v>59.529090393047063</v>
      </c>
      <c r="L18">
        <f>C18/I18+D18/0.84+E18+F18/J18+G18/0.65</f>
        <v>1.0476705451411332</v>
      </c>
    </row>
    <row r="19" spans="1:12">
      <c r="A19" t="s">
        <v>536</v>
      </c>
      <c r="B19" t="s">
        <v>674</v>
      </c>
      <c r="C19">
        <v>0.53300000000000003</v>
      </c>
      <c r="D19">
        <v>8.5999999999999993E-2</v>
      </c>
      <c r="E19">
        <v>0.216</v>
      </c>
      <c r="F19">
        <v>0.14599999999999999</v>
      </c>
      <c r="G19">
        <v>1.9E-2</v>
      </c>
      <c r="H19">
        <f>INDEX(P_EF_Elec!$F:$F,MATCH(A19,P_EF_Elec!$A:$A,0))</f>
        <v>125.464984358707</v>
      </c>
      <c r="I19">
        <f>INDEX(P_GasEff!$B:$B,MATCH(A19,P_GasEff!$A:$A,0))</f>
        <v>0.85</v>
      </c>
      <c r="J19">
        <f>INDEX(P_HPcop!$B:$B,MATCH(A19,P_HPcop!$A:$A,0))</f>
        <v>2</v>
      </c>
      <c r="K19">
        <f>C19*(63.28/I19)+D19*(79.8/0.84)+E19*H19+F19*(H19/J19)+G19*(1.1/0.65)</f>
        <v>84.141816678761359</v>
      </c>
      <c r="L19">
        <f>C19/I19+D19/0.84+E19+F19/J19+G19/0.65</f>
        <v>1.0476705451411332</v>
      </c>
    </row>
    <row r="20" spans="1:12">
      <c r="A20" t="s">
        <v>537</v>
      </c>
      <c r="B20" t="s">
        <v>674</v>
      </c>
      <c r="C20">
        <v>0.53300000000000003</v>
      </c>
      <c r="D20">
        <v>8.5999999999999993E-2</v>
      </c>
      <c r="E20">
        <v>0.216</v>
      </c>
      <c r="F20">
        <v>0.14599999999999999</v>
      </c>
      <c r="G20">
        <v>1.9E-2</v>
      </c>
      <c r="H20">
        <f>INDEX(P_EF_Elec!$F:$F,MATCH(A20,P_EF_Elec!$A:$A,0))</f>
        <v>129.04771428571431</v>
      </c>
      <c r="I20">
        <f>INDEX(P_GasEff!$B:$B,MATCH(A20,P_GasEff!$A:$A,0))</f>
        <v>0.85</v>
      </c>
      <c r="J20">
        <f>INDEX(P_HPcop!$B:$B,MATCH(A20,P_HPcop!$A:$A,0))</f>
        <v>2</v>
      </c>
      <c r="K20">
        <f>C20*(63.28/I20)+D20*(79.8/0.84)+E20*H20+F20*(H20/J20)+G20*(1.1/0.65)</f>
        <v>85.177225627666473</v>
      </c>
      <c r="L20">
        <f>C20/I20+D20/0.84+E20+F20/J20+G20/0.65</f>
        <v>1.0476705451411332</v>
      </c>
    </row>
    <row r="21" spans="1:12">
      <c r="A21" t="s">
        <v>538</v>
      </c>
      <c r="B21" t="s">
        <v>674</v>
      </c>
      <c r="C21">
        <v>0.53300000000000003</v>
      </c>
      <c r="D21">
        <v>8.5999999999999993E-2</v>
      </c>
      <c r="E21">
        <v>0.216</v>
      </c>
      <c r="F21">
        <v>0.14599999999999999</v>
      </c>
      <c r="G21">
        <v>1.9E-2</v>
      </c>
      <c r="H21">
        <f>INDEX(P_EF_Elec!$F:$F,MATCH(A21,P_EF_Elec!$A:$A,0))</f>
        <v>103.68921793534933</v>
      </c>
      <c r="I21">
        <f>INDEX(P_GasEff!$B:$B,MATCH(A21,P_GasEff!$A:$A,0))</f>
        <v>0.85</v>
      </c>
      <c r="J21">
        <f>INDEX(P_HPcop!$B:$B,MATCH(A21,P_HPcop!$A:$A,0))</f>
        <v>2</v>
      </c>
      <c r="K21">
        <f>C21*(63.28/I21)+D21*(79.8/0.84)+E21*H21+F21*(H21/J21)+G21*(1.1/0.65)</f>
        <v>77.848620182410983</v>
      </c>
      <c r="L21">
        <f>C21/I21+D21/0.84+E21+F21/J21+G21/0.65</f>
        <v>1.0476705451411332</v>
      </c>
    </row>
    <row r="22" spans="1:12">
      <c r="A22" t="s">
        <v>539</v>
      </c>
      <c r="B22" t="s">
        <v>674</v>
      </c>
      <c r="C22">
        <v>0.53300000000000003</v>
      </c>
      <c r="D22">
        <v>8.5999999999999993E-2</v>
      </c>
      <c r="E22">
        <v>0.216</v>
      </c>
      <c r="F22">
        <v>0.14599999999999999</v>
      </c>
      <c r="G22">
        <v>1.9E-2</v>
      </c>
      <c r="H22">
        <f>INDEX(P_EF_Elec!$F:$F,MATCH(A22,P_EF_Elec!$A:$A,0))</f>
        <v>108.11333263816476</v>
      </c>
      <c r="I22">
        <f>INDEX(P_GasEff!$B:$B,MATCH(A22,P_GasEff!$A:$A,0))</f>
        <v>0.85</v>
      </c>
      <c r="J22">
        <f>INDEX(P_HPcop!$B:$B,MATCH(A22,P_HPcop!$A:$A,0))</f>
        <v>2</v>
      </c>
      <c r="K22">
        <f>C22*(63.28/I22)+D22*(79.8/0.84)+E22*H22+F22*(H22/J22)+G22*(1.1/0.65)</f>
        <v>79.127189331524661</v>
      </c>
      <c r="L22">
        <f>C22/I22+D22/0.84+E22+F22/J22+G22/0.65</f>
        <v>1.0476705451411332</v>
      </c>
    </row>
    <row r="23" spans="1:12">
      <c r="A23" t="s">
        <v>540</v>
      </c>
      <c r="B23" t="s">
        <v>674</v>
      </c>
      <c r="C23">
        <v>0.53300000000000003</v>
      </c>
      <c r="D23">
        <v>8.5999999999999993E-2</v>
      </c>
      <c r="E23">
        <v>0.216</v>
      </c>
      <c r="F23">
        <v>0.14599999999999999</v>
      </c>
      <c r="G23">
        <v>1.9E-2</v>
      </c>
      <c r="H23">
        <f>INDEX(P_EF_Elec!$F:$F,MATCH(A23,P_EF_Elec!$A:$A,0))</f>
        <v>67.9824921793535</v>
      </c>
      <c r="I23">
        <f>INDEX(P_GasEff!$B:$B,MATCH(A23,P_GasEff!$A:$A,0))</f>
        <v>0.85</v>
      </c>
      <c r="J23">
        <f>INDEX(P_HPcop!$B:$B,MATCH(A23,P_HPcop!$A:$A,0))</f>
        <v>2</v>
      </c>
      <c r="K23">
        <f>C23*(63.28/I23)+D23*(79.8/0.84)+E23*H23+F23*(H23/J23)+G23*(1.1/0.65)</f>
        <v>67.529376438928196</v>
      </c>
      <c r="L23">
        <f>C23/I23+D23/0.84+E23+F23/J23+G23/0.65</f>
        <v>1.0476705451411332</v>
      </c>
    </row>
    <row r="24" spans="1:12">
      <c r="A24" t="s">
        <v>542</v>
      </c>
      <c r="B24" t="s">
        <v>674</v>
      </c>
      <c r="C24">
        <v>0.53300000000000003</v>
      </c>
      <c r="D24">
        <v>8.5999999999999993E-2</v>
      </c>
      <c r="E24">
        <v>0.216</v>
      </c>
      <c r="F24">
        <v>0.14599999999999999</v>
      </c>
      <c r="G24">
        <v>1.9E-2</v>
      </c>
      <c r="H24">
        <f>INDEX(P_EF_Elec!$F:$F,MATCH(A24,P_EF_Elec!$A:$A,0))</f>
        <v>62.901727748691101</v>
      </c>
      <c r="I24">
        <f>INDEX(P_GasEff!$B:$B,MATCH(A24,P_GasEff!$A:$A,0))</f>
        <v>0.85</v>
      </c>
      <c r="J24">
        <f>INDEX(P_HPcop!$B:$B,MATCH(A24,P_HPcop!$A:$A,0))</f>
        <v>2</v>
      </c>
      <c r="K24">
        <f>C24*(63.28/I24)+D24*(79.8/0.84)+E24*H24+F24*(H24/J24)+G24*(1.1/0.65)</f>
        <v>66.061035518466753</v>
      </c>
      <c r="L24">
        <f>C24/I24+D24/0.84+E24+F24/J24+G24/0.65</f>
        <v>1.0476705451411332</v>
      </c>
    </row>
    <row r="25" spans="1:12">
      <c r="A25" t="s">
        <v>543</v>
      </c>
      <c r="B25" t="s">
        <v>674</v>
      </c>
      <c r="C25">
        <v>0.53300000000000003</v>
      </c>
      <c r="D25">
        <v>8.5999999999999993E-2</v>
      </c>
      <c r="E25">
        <v>0.216</v>
      </c>
      <c r="F25">
        <v>0.14599999999999999</v>
      </c>
      <c r="G25">
        <v>1.9E-2</v>
      </c>
      <c r="H25">
        <f>INDEX(P_EF_Elec!$F:$F,MATCH(A25,P_EF_Elec!$A:$A,0))</f>
        <v>92.703766666666667</v>
      </c>
      <c r="I25">
        <f>INDEX(P_GasEff!$B:$B,MATCH(A25,P_GasEff!$A:$A,0))</f>
        <v>0.85</v>
      </c>
      <c r="J25">
        <f>INDEX(P_HPcop!$B:$B,MATCH(A25,P_HPcop!$A:$A,0))</f>
        <v>2</v>
      </c>
      <c r="K25">
        <f>C25*(63.28/I25)+D25*(79.8/0.84)+E25*H25+F25*(H25/J25)+G25*(1.1/0.65)</f>
        <v>74.673824765761694</v>
      </c>
      <c r="L25">
        <f>C25/I25+D25/0.84+E25+F25/J25+G25/0.65</f>
        <v>1.0476705451411332</v>
      </c>
    </row>
    <row r="26" spans="1:12">
      <c r="A26" t="s">
        <v>544</v>
      </c>
      <c r="B26" t="s">
        <v>674</v>
      </c>
      <c r="C26">
        <v>0.53300000000000003</v>
      </c>
      <c r="D26">
        <v>8.5999999999999993E-2</v>
      </c>
      <c r="E26">
        <v>0.216</v>
      </c>
      <c r="F26">
        <v>0.14599999999999999</v>
      </c>
      <c r="G26">
        <v>1.9E-2</v>
      </c>
      <c r="H26">
        <f>INDEX(P_EF_Elec!$F:$F,MATCH(A26,P_EF_Elec!$A:$A,0))</f>
        <v>116.61675495307612</v>
      </c>
      <c r="I26">
        <f>INDEX(P_GasEff!$B:$B,MATCH(A26,P_GasEff!$A:$A,0))</f>
        <v>0.85</v>
      </c>
      <c r="J26">
        <f>INDEX(P_HPcop!$B:$B,MATCH(A26,P_HPcop!$A:$A,0))</f>
        <v>2</v>
      </c>
      <c r="K26">
        <f>C26*(63.28/I26)+D26*(79.8/0.84)+E26*H26+F26*(H26/J26)+G26*(1.1/0.65)</f>
        <v>81.584678380534029</v>
      </c>
      <c r="L26">
        <f>C26/I26+D26/0.84+E26+F26/J26+G26/0.65</f>
        <v>1.0476705451411332</v>
      </c>
    </row>
    <row r="27" spans="1:12">
      <c r="A27" t="s">
        <v>545</v>
      </c>
      <c r="B27" t="s">
        <v>674</v>
      </c>
      <c r="C27">
        <v>0.53300000000000003</v>
      </c>
      <c r="D27">
        <v>8.5999999999999993E-2</v>
      </c>
      <c r="E27">
        <v>0.216</v>
      </c>
      <c r="F27">
        <v>0.14599999999999999</v>
      </c>
      <c r="G27">
        <v>1.9E-2</v>
      </c>
      <c r="H27">
        <f>INDEX(P_EF_Elec!$F:$F,MATCH(A27,P_EF_Elec!$A:$A,0))</f>
        <v>112.87883211678833</v>
      </c>
      <c r="I27">
        <f>INDEX(P_GasEff!$B:$B,MATCH(A27,P_GasEff!$A:$A,0))</f>
        <v>0.85</v>
      </c>
      <c r="J27">
        <f>INDEX(P_HPcop!$B:$B,MATCH(A27,P_HPcop!$A:$A,0))</f>
        <v>2</v>
      </c>
      <c r="K27">
        <f>C27*(63.28/I27)+D27*(79.8/0.84)+E27*H27+F27*(H27/J27)+G27*(1.1/0.65)</f>
        <v>80.504418680846868</v>
      </c>
      <c r="L27">
        <f>C27/I27+D27/0.84+E27+F27/J27+G27/0.65</f>
        <v>1.0476705451411332</v>
      </c>
    </row>
    <row r="28" spans="1:12">
      <c r="A28" t="s">
        <v>546</v>
      </c>
      <c r="B28" t="s">
        <v>674</v>
      </c>
      <c r="C28">
        <v>0.53300000000000003</v>
      </c>
      <c r="D28">
        <v>8.5999999999999993E-2</v>
      </c>
      <c r="E28">
        <v>0.216</v>
      </c>
      <c r="F28">
        <v>0.14599999999999999</v>
      </c>
      <c r="G28">
        <v>1.9E-2</v>
      </c>
      <c r="H28">
        <f>INDEX(P_EF_Elec!$F:$F,MATCH(A28,P_EF_Elec!$A:$A,0))</f>
        <v>193.79228362878001</v>
      </c>
      <c r="I28">
        <f>INDEX(P_GasEff!$B:$B,MATCH(A28,P_GasEff!$A:$A,0))</f>
        <v>0.85</v>
      </c>
      <c r="J28">
        <f>INDEX(P_HPcop!$B:$B,MATCH(A28,P_HPcop!$A:$A,0))</f>
        <v>2</v>
      </c>
      <c r="K28">
        <f>C28*(63.28/I28)+D28*(79.8/0.84)+E28*H28+F28*(H28/J28)+G28*(1.1/0.65)</f>
        <v>103.88840616781245</v>
      </c>
      <c r="L28">
        <f>C28/I28+D28/0.84+E28+F28/J28+G28/0.65</f>
        <v>1.0476705451411332</v>
      </c>
    </row>
    <row r="29" spans="1:12">
      <c r="A29" t="s">
        <v>547</v>
      </c>
      <c r="B29" t="s">
        <v>674</v>
      </c>
      <c r="C29">
        <v>0.53300000000000003</v>
      </c>
      <c r="D29">
        <v>8.5999999999999993E-2</v>
      </c>
      <c r="E29">
        <v>0.216</v>
      </c>
      <c r="F29">
        <v>0.14599999999999999</v>
      </c>
      <c r="G29">
        <v>1.9E-2</v>
      </c>
      <c r="H29">
        <f>INDEX(P_EF_Elec!$F:$F,MATCH(A29,P_EF_Elec!$A:$A,0))</f>
        <v>26.672304483837333</v>
      </c>
      <c r="I29">
        <f>INDEX(P_GasEff!$B:$B,MATCH(A29,P_GasEff!$A:$A,0))</f>
        <v>0.85</v>
      </c>
      <c r="J29">
        <f>INDEX(P_HPcop!$B:$B,MATCH(A29,P_HPcop!$A:$A,0))</f>
        <v>2</v>
      </c>
      <c r="K29">
        <f>C29*(63.28/I29)+D29*(79.8/0.84)+E29*H29+F29*(H29/J29)+G29*(1.1/0.65)</f>
        <v>55.590732194924023</v>
      </c>
      <c r="L29">
        <f>C29/I29+D29/0.84+E29+F29/J29+G29/0.65</f>
        <v>1.0476705451411332</v>
      </c>
    </row>
    <row r="30" spans="1:12">
      <c r="A30" t="s">
        <v>548</v>
      </c>
      <c r="B30" t="s">
        <v>674</v>
      </c>
      <c r="C30">
        <v>0.53300000000000003</v>
      </c>
      <c r="D30">
        <v>8.5999999999999993E-2</v>
      </c>
      <c r="E30">
        <v>0.216</v>
      </c>
      <c r="F30">
        <v>0.14599999999999999</v>
      </c>
      <c r="G30">
        <v>1.9E-2</v>
      </c>
      <c r="H30">
        <f>INDEX(P_EF_Elec!$F:$F,MATCH(A30,P_EF_Elec!$A:$A,0))</f>
        <v>108.68553235908142</v>
      </c>
      <c r="I30">
        <f>INDEX(P_GasEff!$B:$B,MATCH(A30,P_GasEff!$A:$A,0))</f>
        <v>0.85</v>
      </c>
      <c r="J30">
        <f>INDEX(P_HPcop!$B:$B,MATCH(A30,P_HPcop!$A:$A,0))</f>
        <v>2</v>
      </c>
      <c r="K30">
        <f>C30*(63.28/I30)+D30*(79.8/0.84)+E30*H30+F30*(H30/J30)+G30*(1.1/0.65)</f>
        <v>79.292555050869566</v>
      </c>
      <c r="L30">
        <f>C30/I30+D30/0.84+E30+F30/J30+G30/0.65</f>
        <v>1.0476705451411332</v>
      </c>
    </row>
    <row r="31" spans="1:12">
      <c r="A31" t="s">
        <v>549</v>
      </c>
      <c r="B31" t="s">
        <v>674</v>
      </c>
      <c r="C31">
        <v>0.53300000000000003</v>
      </c>
      <c r="D31">
        <v>8.5999999999999993E-2</v>
      </c>
      <c r="E31">
        <v>0.216</v>
      </c>
      <c r="F31">
        <v>0.14599999999999999</v>
      </c>
      <c r="G31">
        <v>1.9E-2</v>
      </c>
      <c r="H31">
        <f>INDEX(P_EF_Elec!$F:$F,MATCH(A31,P_EF_Elec!$A:$A,0))</f>
        <v>150.51920585161966</v>
      </c>
      <c r="I31">
        <f>INDEX(P_GasEff!$B:$B,MATCH(A31,P_GasEff!$A:$A,0))</f>
        <v>0.85</v>
      </c>
      <c r="J31">
        <f>INDEX(P_HPcop!$B:$B,MATCH(A31,P_HPcop!$A:$A,0))</f>
        <v>2</v>
      </c>
      <c r="K31">
        <f>C31*(63.28/I31)+D31*(79.8/0.84)+E31*H31+F31*(H31/J31)+G31*(1.1/0.65)</f>
        <v>91.382486690213113</v>
      </c>
      <c r="L31">
        <f>C31/I31+D31/0.84+E31+F31/J31+G31/0.65</f>
        <v>1.0476705451411332</v>
      </c>
    </row>
    <row r="32" spans="1:12">
      <c r="A32" t="s">
        <v>550</v>
      </c>
      <c r="B32" t="s">
        <v>674</v>
      </c>
      <c r="C32">
        <v>0.53300000000000003</v>
      </c>
      <c r="D32">
        <v>8.5999999999999993E-2</v>
      </c>
      <c r="E32">
        <v>0.216</v>
      </c>
      <c r="F32">
        <v>0.14599999999999999</v>
      </c>
      <c r="G32">
        <v>1.9E-2</v>
      </c>
      <c r="H32">
        <f>INDEX(P_EF_Elec!$F:$F,MATCH(A32,P_EF_Elec!$A:$A,0))</f>
        <v>100.79267987486966</v>
      </c>
      <c r="I32">
        <f>INDEX(P_GasEff!$B:$B,MATCH(A32,P_GasEff!$A:$A,0))</f>
        <v>0.85</v>
      </c>
      <c r="J32">
        <f>INDEX(P_HPcop!$B:$B,MATCH(A32,P_HPcop!$A:$A,0))</f>
        <v>2</v>
      </c>
      <c r="K32">
        <f>C32*(63.28/I32)+D32*(79.8/0.84)+E32*H32+F32*(H32/J32)+G32*(1.1/0.65)</f>
        <v>77.011520682932371</v>
      </c>
      <c r="L32">
        <f>C32/I32+D32/0.84+E32+F32/J32+G32/0.65</f>
        <v>1.0476705451411332</v>
      </c>
    </row>
    <row r="33" spans="1:12">
      <c r="A33" t="s">
        <v>551</v>
      </c>
      <c r="B33" t="s">
        <v>674</v>
      </c>
      <c r="C33">
        <v>0.53300000000000003</v>
      </c>
      <c r="D33">
        <v>8.5999999999999993E-2</v>
      </c>
      <c r="E33">
        <v>0.216</v>
      </c>
      <c r="F33">
        <v>0.14599999999999999</v>
      </c>
      <c r="G33">
        <v>1.9E-2</v>
      </c>
      <c r="H33">
        <f>INDEX(P_EF_Elec!$F:$F,MATCH(A33,P_EF_Elec!$A:$A,0))</f>
        <v>104.18921793534933</v>
      </c>
      <c r="I33">
        <f>INDEX(P_GasEff!$B:$B,MATCH(A33,P_GasEff!$A:$A,0))</f>
        <v>0.85</v>
      </c>
      <c r="J33">
        <f>INDEX(P_HPcop!$B:$B,MATCH(A33,P_HPcop!$A:$A,0))</f>
        <v>2</v>
      </c>
      <c r="K33">
        <f>C33*(63.28/I33)+D33*(79.8/0.84)+E33*H33+F33*(H33/J33)+G33*(1.1/0.65)</f>
        <v>77.993120182410991</v>
      </c>
      <c r="L33">
        <f>C33/I33+D33/0.84+E33+F33/J33+G33/0.65</f>
        <v>1.0476705451411332</v>
      </c>
    </row>
    <row r="34" spans="1:12">
      <c r="A34" t="s">
        <v>552</v>
      </c>
      <c r="B34" t="s">
        <v>674</v>
      </c>
      <c r="C34">
        <v>0.53300000000000003</v>
      </c>
      <c r="D34">
        <v>8.5999999999999993E-2</v>
      </c>
      <c r="E34">
        <v>0.216</v>
      </c>
      <c r="F34">
        <v>0.14599999999999999</v>
      </c>
      <c r="G34">
        <v>1.9E-2</v>
      </c>
      <c r="H34">
        <f>INDEX(P_EF_Elec!$F:$F,MATCH(A34,P_EF_Elec!$A:$A,0))</f>
        <v>165.5321630094044</v>
      </c>
      <c r="I34">
        <f>INDEX(P_GasEff!$B:$B,MATCH(A34,P_GasEff!$A:$A,0))</f>
        <v>0.85</v>
      </c>
      <c r="J34">
        <f>INDEX(P_HPcop!$B:$B,MATCH(A34,P_HPcop!$A:$A,0))</f>
        <v>2</v>
      </c>
      <c r="K34">
        <f>C34*(63.28/I34)+D34*(79.8/0.84)+E34*H34+F34*(H34/J34)+G34*(1.1/0.65)</f>
        <v>95.721231308812904</v>
      </c>
      <c r="L34">
        <f>C34/I34+D34/0.84+E34+F34/J34+G34/0.65</f>
        <v>1.0476705451411332</v>
      </c>
    </row>
    <row r="35" spans="1:12">
      <c r="A35" t="s">
        <v>553</v>
      </c>
      <c r="B35" t="s">
        <v>674</v>
      </c>
      <c r="C35">
        <v>0.53300000000000003</v>
      </c>
      <c r="D35">
        <v>8.5999999999999993E-2</v>
      </c>
      <c r="E35">
        <v>0.216</v>
      </c>
      <c r="F35">
        <v>0.14599999999999999</v>
      </c>
      <c r="G35">
        <v>1.9E-2</v>
      </c>
      <c r="H35">
        <f>INDEX(P_EF_Elec!$F:$F,MATCH(A35,P_EF_Elec!$A:$A,0))</f>
        <v>110.98229405630867</v>
      </c>
      <c r="I35">
        <f>INDEX(P_GasEff!$B:$B,MATCH(A35,P_GasEff!$A:$A,0))</f>
        <v>0.85</v>
      </c>
      <c r="J35">
        <f>INDEX(P_HPcop!$B:$B,MATCH(A35,P_HPcop!$A:$A,0))</f>
        <v>2</v>
      </c>
      <c r="K35">
        <f>C35*(63.28/I35)+D35*(79.8/0.84)+E35*H35+F35*(H35/J35)+G35*(1.1/0.65)</f>
        <v>79.956319181368229</v>
      </c>
      <c r="L35">
        <f>C35/I35+D35/0.84+E35+F35/J35+G35/0.65</f>
        <v>1.0476705451411332</v>
      </c>
    </row>
    <row r="36" spans="1:12">
      <c r="A36" t="s">
        <v>554</v>
      </c>
      <c r="B36" t="s">
        <v>674</v>
      </c>
      <c r="C36">
        <v>0.53300000000000003</v>
      </c>
      <c r="D36">
        <v>8.5999999999999993E-2</v>
      </c>
      <c r="E36">
        <v>0.216</v>
      </c>
      <c r="F36">
        <v>0.14599999999999999</v>
      </c>
      <c r="G36">
        <v>1.9E-2</v>
      </c>
      <c r="H36">
        <f>INDEX(P_EF_Elec!$F:$F,MATCH(A36,P_EF_Elec!$A:$A,0))</f>
        <v>40.904041884816763</v>
      </c>
      <c r="I36">
        <f>INDEX(P_GasEff!$B:$B,MATCH(A36,P_GasEff!$A:$A,0))</f>
        <v>0.85</v>
      </c>
      <c r="J36">
        <f>INDEX(P_HPcop!$B:$B,MATCH(A36,P_HPcop!$A:$A,0))</f>
        <v>2</v>
      </c>
      <c r="K36">
        <f>C36*(63.28/I36)+D36*(79.8/0.84)+E36*H36+F36*(H36/J36)+G36*(1.1/0.65)</f>
        <v>59.703704303807072</v>
      </c>
      <c r="L36">
        <f>C36/I36+D36/0.84+E36+F36/J36+G36/0.65</f>
        <v>1.0476705451411332</v>
      </c>
    </row>
    <row r="37" spans="1:12">
      <c r="A37" t="s">
        <v>555</v>
      </c>
      <c r="B37" t="s">
        <v>674</v>
      </c>
      <c r="C37">
        <v>0.53300000000000003</v>
      </c>
      <c r="D37">
        <v>8.5999999999999993E-2</v>
      </c>
      <c r="E37">
        <v>0.216</v>
      </c>
      <c r="F37">
        <v>0.14599999999999999</v>
      </c>
      <c r="G37">
        <v>1.9E-2</v>
      </c>
      <c r="H37">
        <f>INDEX(P_EF_Elec!$F:$F,MATCH(A37,P_EF_Elec!$A:$A,0))</f>
        <v>80.944500000000019</v>
      </c>
      <c r="I37">
        <f>INDEX(P_GasEff!$B:$B,MATCH(A37,P_GasEff!$A:$A,0))</f>
        <v>0.85</v>
      </c>
      <c r="J37">
        <f>INDEX(P_HPcop!$B:$B,MATCH(A37,P_HPcop!$A:$A,0))</f>
        <v>2</v>
      </c>
      <c r="K37">
        <f>C37*(63.28/I37)+D37*(79.8/0.84)+E37*H37+F37*(H37/J37)+G37*(1.1/0.65)</f>
        <v>71.27539669909504</v>
      </c>
      <c r="L37">
        <f>C37/I37+D37/0.84+E37+F37/J37+G37/0.65</f>
        <v>1.0476705451411332</v>
      </c>
    </row>
    <row r="38" spans="1:12">
      <c r="A38" t="s">
        <v>556</v>
      </c>
      <c r="B38" t="s">
        <v>674</v>
      </c>
      <c r="C38">
        <v>0.53300000000000003</v>
      </c>
      <c r="D38">
        <v>8.5999999999999993E-2</v>
      </c>
      <c r="E38">
        <v>0.216</v>
      </c>
      <c r="F38">
        <v>0.14599999999999999</v>
      </c>
      <c r="G38">
        <v>1.9E-2</v>
      </c>
      <c r="H38">
        <f>INDEX(P_EF_Elec!$F:$F,MATCH(A38,P_EF_Elec!$A:$A,0))</f>
        <v>85.262418848167542</v>
      </c>
      <c r="I38">
        <f>INDEX(P_GasEff!$B:$B,MATCH(A38,P_GasEff!$A:$A,0))</f>
        <v>0.85</v>
      </c>
      <c r="J38">
        <f>INDEX(P_HPcop!$B:$B,MATCH(A38,P_HPcop!$A:$A,0))</f>
        <v>2</v>
      </c>
      <c r="K38">
        <f>C38*(63.28/I38)+D38*(79.8/0.84)+E38*H38+F38*(H38/J38)+G38*(1.1/0.65)</f>
        <v>72.523275246215448</v>
      </c>
      <c r="L38">
        <f>C38/I38+D38/0.84+E38+F38/J38+G38/0.65</f>
        <v>1.0476705451411332</v>
      </c>
    </row>
    <row r="39" spans="1:12">
      <c r="A39" t="s">
        <v>558</v>
      </c>
      <c r="B39" t="s">
        <v>674</v>
      </c>
      <c r="C39">
        <v>0.53300000000000003</v>
      </c>
      <c r="D39">
        <v>8.5999999999999993E-2</v>
      </c>
      <c r="E39">
        <v>0.216</v>
      </c>
      <c r="F39">
        <v>0.14599999999999999</v>
      </c>
      <c r="G39">
        <v>1.9E-2</v>
      </c>
      <c r="H39">
        <f>INDEX(P_EF_Elec!$F:$F,MATCH(A39,P_EF_Elec!$A:$A,0))</f>
        <v>91.603065693430679</v>
      </c>
      <c r="I39">
        <f>INDEX(P_GasEff!$B:$B,MATCH(A39,P_GasEff!$A:$A,0))</f>
        <v>0.85</v>
      </c>
      <c r="J39">
        <f>INDEX(P_HPcop!$B:$B,MATCH(A39,P_HPcop!$A:$A,0))</f>
        <v>2</v>
      </c>
      <c r="K39">
        <f>C39*(63.28/I39)+D39*(79.8/0.84)+E39*H39+F39*(H39/J39)+G39*(1.1/0.65)</f>
        <v>74.3557221844965</v>
      </c>
      <c r="L39">
        <f>C39/I39+D39/0.84+E39+F39/J39+G39/0.65</f>
        <v>1.0476705451411332</v>
      </c>
    </row>
    <row r="40" spans="1:12">
      <c r="A40" t="s">
        <v>559</v>
      </c>
      <c r="B40" t="s">
        <v>674</v>
      </c>
      <c r="C40">
        <v>0.53300000000000003</v>
      </c>
      <c r="D40">
        <v>8.5999999999999993E-2</v>
      </c>
      <c r="E40">
        <v>0.216</v>
      </c>
      <c r="F40">
        <v>0.14599999999999999</v>
      </c>
      <c r="G40">
        <v>1.9E-2</v>
      </c>
      <c r="H40">
        <f>INDEX(P_EF_Elec!$F:$F,MATCH(A40,P_EF_Elec!$A:$A,0))</f>
        <v>113.37883211678833</v>
      </c>
      <c r="I40">
        <f>INDEX(P_GasEff!$B:$B,MATCH(A40,P_GasEff!$A:$A,0))</f>
        <v>0.85</v>
      </c>
      <c r="J40">
        <f>INDEX(P_HPcop!$B:$B,MATCH(A40,P_HPcop!$A:$A,0))</f>
        <v>2</v>
      </c>
      <c r="K40">
        <f>C40*(63.28/I40)+D40*(79.8/0.84)+E40*H40+F40*(H40/J40)+G40*(1.1/0.65)</f>
        <v>80.648918680846847</v>
      </c>
      <c r="L40">
        <f>C40/I40+D40/0.84+E40+F40/J40+G40/0.65</f>
        <v>1.0476705451411332</v>
      </c>
    </row>
    <row r="41" spans="1:12">
      <c r="A41" t="s">
        <v>560</v>
      </c>
      <c r="B41" t="s">
        <v>674</v>
      </c>
      <c r="C41">
        <v>0.53300000000000003</v>
      </c>
      <c r="D41">
        <v>8.5999999999999993E-2</v>
      </c>
      <c r="E41">
        <v>0.216</v>
      </c>
      <c r="F41">
        <v>0.14599999999999999</v>
      </c>
      <c r="G41">
        <v>1.9E-2</v>
      </c>
      <c r="H41">
        <f>INDEX(P_EF_Elec!$F:$F,MATCH(A41,P_EF_Elec!$A:$A,0))</f>
        <v>158.43036496350365</v>
      </c>
      <c r="I41">
        <f>INDEX(P_GasEff!$B:$B,MATCH(A41,P_GasEff!$A:$A,0))</f>
        <v>0.85</v>
      </c>
      <c r="J41">
        <f>INDEX(P_HPcop!$B:$B,MATCH(A41,P_HPcop!$A:$A,0))</f>
        <v>2</v>
      </c>
      <c r="K41">
        <f>C41*(63.28/I41)+D41*(79.8/0.84)+E41*H41+F41*(H41/J41)+G41*(1.1/0.65)</f>
        <v>93.66881167354758</v>
      </c>
      <c r="L41">
        <f>C41/I41+D41/0.84+E41+F41/J41+G41/0.65</f>
        <v>1.0476705451411332</v>
      </c>
    </row>
    <row r="42" spans="1:12">
      <c r="A42" t="s">
        <v>561</v>
      </c>
      <c r="B42" t="s">
        <v>674</v>
      </c>
      <c r="C42">
        <v>0.53300000000000003</v>
      </c>
      <c r="D42">
        <v>8.5999999999999993E-2</v>
      </c>
      <c r="E42">
        <v>0.216</v>
      </c>
      <c r="F42">
        <v>0.14599999999999999</v>
      </c>
      <c r="G42">
        <v>1.9E-2</v>
      </c>
      <c r="H42">
        <f>INDEX(P_EF_Elec!$F:$F,MATCH(A42,P_EF_Elec!$A:$A,0))</f>
        <v>73.223837330552669</v>
      </c>
      <c r="I42">
        <f>INDEX(P_GasEff!$B:$B,MATCH(A42,P_GasEff!$A:$A,0))</f>
        <v>0.85</v>
      </c>
      <c r="J42">
        <f>INDEX(P_HPcop!$B:$B,MATCH(A42,P_HPcop!$A:$A,0))</f>
        <v>2</v>
      </c>
      <c r="K42">
        <f>C42*(63.28/I42)+D42*(79.8/0.84)+E42*H42+F42*(H42/J42)+G42*(1.1/0.65)</f>
        <v>69.044125187624758</v>
      </c>
      <c r="L42">
        <f>C42/I42+D42/0.84+E42+F42/J42+G42/0.65</f>
        <v>1.0476705451411332</v>
      </c>
    </row>
    <row r="43" spans="1:12">
      <c r="A43" t="s">
        <v>562</v>
      </c>
      <c r="B43" t="s">
        <v>674</v>
      </c>
      <c r="C43">
        <v>0.53300000000000003</v>
      </c>
      <c r="D43">
        <v>8.5999999999999993E-2</v>
      </c>
      <c r="E43">
        <v>0.216</v>
      </c>
      <c r="F43">
        <v>0.14599999999999999</v>
      </c>
      <c r="G43">
        <v>1.9E-2</v>
      </c>
      <c r="H43">
        <f>INDEX(P_EF_Elec!$F:$F,MATCH(A43,P_EF_Elec!$A:$A,0))</f>
        <v>109.98229405630867</v>
      </c>
      <c r="I43">
        <f>INDEX(P_GasEff!$B:$B,MATCH(A43,P_GasEff!$A:$A,0))</f>
        <v>0.85</v>
      </c>
      <c r="J43">
        <f>INDEX(P_HPcop!$B:$B,MATCH(A43,P_HPcop!$A:$A,0))</f>
        <v>2</v>
      </c>
      <c r="K43">
        <f>C43*(63.28/I43)+D43*(79.8/0.84)+E43*H43+F43*(H43/J43)+G43*(1.1/0.65)</f>
        <v>79.667319181368242</v>
      </c>
      <c r="L43">
        <f>C43/I43+D43/0.84+E43+F43/J43+G43/0.65</f>
        <v>1.0476705451411332</v>
      </c>
    </row>
    <row r="44" spans="1:12">
      <c r="A44" t="s">
        <v>563</v>
      </c>
      <c r="B44" t="s">
        <v>674</v>
      </c>
      <c r="C44">
        <v>0.53300000000000003</v>
      </c>
      <c r="D44">
        <v>8.5999999999999993E-2</v>
      </c>
      <c r="E44">
        <v>0.216</v>
      </c>
      <c r="F44">
        <v>0.14599999999999999</v>
      </c>
      <c r="G44">
        <v>1.9E-2</v>
      </c>
      <c r="H44">
        <f>INDEX(P_EF_Elec!$F:$F,MATCH(A44,P_EF_Elec!$A:$A,0))</f>
        <v>90.206527632950994</v>
      </c>
      <c r="I44">
        <f>INDEX(P_GasEff!$B:$B,MATCH(A44,P_GasEff!$A:$A,0))</f>
        <v>0.85</v>
      </c>
      <c r="J44">
        <f>INDEX(P_HPcop!$B:$B,MATCH(A44,P_HPcop!$A:$A,0))</f>
        <v>2</v>
      </c>
      <c r="K44">
        <f>C44*(63.28/I44)+D44*(79.8/0.84)+E44*H44+F44*(H44/J44)+G44*(1.1/0.65)</f>
        <v>73.952122685017869</v>
      </c>
      <c r="L44">
        <f>C44/I44+D44/0.84+E44+F44/J44+G44/0.65</f>
        <v>1.0476705451411332</v>
      </c>
    </row>
    <row r="45" spans="1:12">
      <c r="A45" t="s">
        <v>564</v>
      </c>
      <c r="B45" t="s">
        <v>674</v>
      </c>
      <c r="C45">
        <v>0.53300000000000003</v>
      </c>
      <c r="D45">
        <v>8.5999999999999993E-2</v>
      </c>
      <c r="E45">
        <v>0.216</v>
      </c>
      <c r="F45">
        <v>0.14599999999999999</v>
      </c>
      <c r="G45">
        <v>1.9E-2</v>
      </c>
      <c r="H45">
        <f>INDEX(P_EF_Elec!$F:$F,MATCH(A45,P_EF_Elec!$A:$A,0))</f>
        <v>53.584387434554976</v>
      </c>
      <c r="I45">
        <f>INDEX(P_GasEff!$B:$B,MATCH(A45,P_GasEff!$A:$A,0))</f>
        <v>0.85</v>
      </c>
      <c r="J45">
        <f>INDEX(P_HPcop!$B:$B,MATCH(A45,P_HPcop!$A:$A,0))</f>
        <v>2</v>
      </c>
      <c r="K45">
        <f>C45*(63.28/I45)+D45*(79.8/0.84)+E45*H45+F45*(H45/J45)+G45*(1.1/0.65)</f>
        <v>63.368324167681422</v>
      </c>
      <c r="L45">
        <f>C45/I45+D45/0.84+E45+F45/J45+G45/0.65</f>
        <v>1.0476705451411332</v>
      </c>
    </row>
    <row r="46" spans="1:12">
      <c r="A46" t="s">
        <v>565</v>
      </c>
      <c r="B46" t="s">
        <v>674</v>
      </c>
      <c r="C46">
        <v>0.53300000000000003</v>
      </c>
      <c r="D46">
        <v>8.5999999999999993E-2</v>
      </c>
      <c r="E46">
        <v>0.216</v>
      </c>
      <c r="F46">
        <v>0.14599999999999999</v>
      </c>
      <c r="G46">
        <v>1.9E-2</v>
      </c>
      <c r="H46">
        <f>INDEX(P_EF_Elec!$F:$F,MATCH(A46,P_EF_Elec!$A:$A,0))</f>
        <v>63.976895833333344</v>
      </c>
      <c r="I46">
        <f>INDEX(P_GasEff!$B:$B,MATCH(A46,P_GasEff!$A:$A,0))</f>
        <v>0.85</v>
      </c>
      <c r="J46">
        <f>INDEX(P_HPcop!$B:$B,MATCH(A46,P_HPcop!$A:$A,0))</f>
        <v>2</v>
      </c>
      <c r="K46">
        <f>C46*(63.28/I46)+D46*(79.8/0.84)+E46*H46+F46*(H46/J46)+G46*(1.1/0.65)</f>
        <v>66.371759094928365</v>
      </c>
      <c r="L46">
        <f>C46/I46+D46/0.84+E46+F46/J46+G46/0.65</f>
        <v>1.0476705451411332</v>
      </c>
    </row>
    <row r="47" spans="1:12">
      <c r="A47" t="s">
        <v>566</v>
      </c>
      <c r="B47" t="s">
        <v>674</v>
      </c>
      <c r="C47">
        <v>0.53300000000000003</v>
      </c>
      <c r="D47">
        <v>8.5999999999999993E-2</v>
      </c>
      <c r="E47">
        <v>0.216</v>
      </c>
      <c r="F47">
        <v>0.14599999999999999</v>
      </c>
      <c r="G47">
        <v>1.9E-2</v>
      </c>
      <c r="H47">
        <f>INDEX(P_EF_Elec!$F:$F,MATCH(A47,P_EF_Elec!$A:$A,0))</f>
        <v>114.37883211678833</v>
      </c>
      <c r="I47">
        <f>INDEX(P_GasEff!$B:$B,MATCH(A47,P_GasEff!$A:$A,0))</f>
        <v>0.85</v>
      </c>
      <c r="J47">
        <f>INDEX(P_HPcop!$B:$B,MATCH(A47,P_HPcop!$A:$A,0))</f>
        <v>2</v>
      </c>
      <c r="K47">
        <f>C47*(63.28/I47)+D47*(79.8/0.84)+E47*H47+F47*(H47/J47)+G47*(1.1/0.65)</f>
        <v>80.937918680846863</v>
      </c>
      <c r="L47">
        <f>C47/I47+D47/0.84+E47+F47/J47+G47/0.65</f>
        <v>1.0476705451411332</v>
      </c>
    </row>
    <row r="48" spans="1:12">
      <c r="A48" t="s">
        <v>567</v>
      </c>
      <c r="B48" t="s">
        <v>674</v>
      </c>
      <c r="C48">
        <v>0.53300000000000003</v>
      </c>
      <c r="D48">
        <v>8.5999999999999993E-2</v>
      </c>
      <c r="E48">
        <v>0.216</v>
      </c>
      <c r="F48">
        <v>0.14599999999999999</v>
      </c>
      <c r="G48">
        <v>1.9E-2</v>
      </c>
      <c r="H48">
        <f>INDEX(P_EF_Elec!$F:$F,MATCH(A48,P_EF_Elec!$A:$A,0))</f>
        <v>83.36172054223151</v>
      </c>
      <c r="I48">
        <f>INDEX(P_GasEff!$B:$B,MATCH(A48,P_GasEff!$A:$A,0))</f>
        <v>0.85</v>
      </c>
      <c r="J48">
        <f>INDEX(P_HPcop!$B:$B,MATCH(A48,P_HPcop!$A:$A,0))</f>
        <v>2</v>
      </c>
      <c r="K48">
        <f>C48*(63.28/I48)+D48*(79.8/0.84)+E48*H48+F48*(H48/J48)+G48*(1.1/0.65)</f>
        <v>71.973973435799934</v>
      </c>
      <c r="L48">
        <f>C48/I48+D48/0.84+E48+F48/J48+G48/0.65</f>
        <v>1.0476705451411332</v>
      </c>
    </row>
    <row r="49" spans="1:12">
      <c r="A49" t="s">
        <v>568</v>
      </c>
      <c r="B49" t="s">
        <v>674</v>
      </c>
      <c r="C49">
        <v>0.53300000000000003</v>
      </c>
      <c r="D49">
        <v>8.5999999999999993E-2</v>
      </c>
      <c r="E49">
        <v>0.216</v>
      </c>
      <c r="F49">
        <v>0.14599999999999999</v>
      </c>
      <c r="G49">
        <v>1.9E-2</v>
      </c>
      <c r="H49">
        <f>INDEX(P_EF_Elec!$F:$F,MATCH(A49,P_EF_Elec!$A:$A,0))</f>
        <v>163.67171011470285</v>
      </c>
      <c r="I49">
        <f>INDEX(P_GasEff!$B:$B,MATCH(A49,P_GasEff!$A:$A,0))</f>
        <v>0.85</v>
      </c>
      <c r="J49">
        <f>INDEX(P_HPcop!$B:$B,MATCH(A49,P_HPcop!$A:$A,0))</f>
        <v>2</v>
      </c>
      <c r="K49">
        <f>C49*(63.28/I49)+D49*(79.8/0.84)+E49*H49+F49*(H49/J49)+G49*(1.1/0.65)</f>
        <v>95.183560422244142</v>
      </c>
      <c r="L49">
        <f>C49/I49+D49/0.84+E49+F49/J49+G49/0.65</f>
        <v>1.0476705451411332</v>
      </c>
    </row>
    <row r="50" spans="1:12">
      <c r="A50" t="s">
        <v>569</v>
      </c>
      <c r="B50" t="s">
        <v>674</v>
      </c>
      <c r="C50">
        <v>0.53300000000000003</v>
      </c>
      <c r="D50">
        <v>8.5999999999999993E-2</v>
      </c>
      <c r="E50">
        <v>0.216</v>
      </c>
      <c r="F50">
        <v>0.14599999999999999</v>
      </c>
      <c r="G50">
        <v>1.9E-2</v>
      </c>
      <c r="H50">
        <f>INDEX(P_EF_Elec!$F:$F,MATCH(A50,P_EF_Elec!$A:$A,0))</f>
        <v>130.10365726227798</v>
      </c>
      <c r="I50">
        <f>INDEX(P_GasEff!$B:$B,MATCH(A50,P_GasEff!$A:$A,0))</f>
        <v>0.85</v>
      </c>
      <c r="J50">
        <f>INDEX(P_HPcop!$B:$B,MATCH(A50,P_HPcop!$A:$A,0))</f>
        <v>2</v>
      </c>
      <c r="K50">
        <f>C50*(63.28/I50)+D50*(79.8/0.84)+E50*H50+F50*(H50/J50)+G50*(1.1/0.65)</f>
        <v>85.482393147893362</v>
      </c>
      <c r="L50">
        <f>C50/I50+D50/0.84+E50+F50/J50+G50/0.65</f>
        <v>1.0476705451411332</v>
      </c>
    </row>
    <row r="51" spans="1:12">
      <c r="A51" t="s">
        <v>570</v>
      </c>
      <c r="B51" t="s">
        <v>674</v>
      </c>
      <c r="C51">
        <v>0.53300000000000003</v>
      </c>
      <c r="D51">
        <v>8.5999999999999993E-2</v>
      </c>
      <c r="E51">
        <v>0.216</v>
      </c>
      <c r="F51">
        <v>0.14599999999999999</v>
      </c>
      <c r="G51">
        <v>1.9E-2</v>
      </c>
      <c r="H51">
        <f>INDEX(P_EF_Elec!$F:$F,MATCH(A51,P_EF_Elec!$A:$A,0))</f>
        <v>99.34441084462982</v>
      </c>
      <c r="I51">
        <f>INDEX(P_GasEff!$B:$B,MATCH(A51,P_GasEff!$A:$A,0))</f>
        <v>0.85</v>
      </c>
      <c r="J51">
        <f>INDEX(P_HPcop!$B:$B,MATCH(A51,P_HPcop!$A:$A,0))</f>
        <v>2</v>
      </c>
      <c r="K51">
        <f>C51*(63.28/I51)+D51*(79.8/0.84)+E51*H51+F51*(H51/J51)+G51*(1.1/0.65)</f>
        <v>76.592970933193058</v>
      </c>
      <c r="L51">
        <f>C51/I51+D51/0.84+E51+F51/J51+G51/0.65</f>
        <v>1.0476705451411332</v>
      </c>
    </row>
    <row r="52" spans="1:12">
      <c r="A52" t="s">
        <v>571</v>
      </c>
      <c r="B52" t="s">
        <v>674</v>
      </c>
      <c r="C52">
        <v>0.53300000000000003</v>
      </c>
      <c r="D52">
        <v>8.5999999999999993E-2</v>
      </c>
      <c r="E52">
        <v>0.216</v>
      </c>
      <c r="F52">
        <v>0.14599999999999999</v>
      </c>
      <c r="G52">
        <v>1.9E-2</v>
      </c>
      <c r="H52">
        <f>INDEX(P_EF_Elec!$F:$F,MATCH(A52,P_EF_Elec!$A:$A,0))</f>
        <v>33.965380604796664</v>
      </c>
      <c r="I52">
        <f>INDEX(P_GasEff!$B:$B,MATCH(A52,P_GasEff!$A:$A,0))</f>
        <v>0.85</v>
      </c>
      <c r="J52">
        <f>INDEX(P_HPcop!$B:$B,MATCH(A52,P_HPcop!$A:$A,0))</f>
        <v>2</v>
      </c>
      <c r="K52">
        <f>C52*(63.28/I52)+D52*(79.8/0.84)+E52*H52+F52*(H52/J52)+G52*(1.1/0.65)</f>
        <v>57.69843119388127</v>
      </c>
      <c r="L52">
        <f>C52/I52+D52/0.84+E52+F52/J52+G52/0.65</f>
        <v>1.0476705451411332</v>
      </c>
    </row>
    <row r="53" spans="1:12">
      <c r="A53" t="s">
        <v>572</v>
      </c>
      <c r="B53" t="s">
        <v>674</v>
      </c>
      <c r="C53">
        <v>0.53300000000000003</v>
      </c>
      <c r="D53">
        <v>8.5999999999999993E-2</v>
      </c>
      <c r="E53">
        <v>0.216</v>
      </c>
      <c r="F53">
        <v>0.14599999999999999</v>
      </c>
      <c r="G53">
        <v>1.9E-2</v>
      </c>
      <c r="H53">
        <f>INDEX(P_EF_Elec!$F:$F,MATCH(A53,P_EF_Elec!$A:$A,0))</f>
        <v>82.838020833333346</v>
      </c>
      <c r="I53">
        <f>INDEX(P_GasEff!$B:$B,MATCH(A53,P_GasEff!$A:$A,0))</f>
        <v>0.85</v>
      </c>
      <c r="J53">
        <f>INDEX(P_HPcop!$B:$B,MATCH(A53,P_HPcop!$A:$A,0))</f>
        <v>2</v>
      </c>
      <c r="K53">
        <f>C53*(63.28/I53)+D53*(79.8/0.84)+E53*H53+F53*(H53/J53)+G53*(1.1/0.65)</f>
        <v>71.822624219928372</v>
      </c>
      <c r="L53">
        <f>C53/I53+D53/0.84+E53+F53/J53+G53/0.65</f>
        <v>1.0476705451411332</v>
      </c>
    </row>
    <row r="54" spans="1:12">
      <c r="A54" t="s">
        <v>573</v>
      </c>
      <c r="B54" t="s">
        <v>674</v>
      </c>
      <c r="C54">
        <v>0.53300000000000003</v>
      </c>
      <c r="D54">
        <v>8.5999999999999993E-2</v>
      </c>
      <c r="E54">
        <v>0.216</v>
      </c>
      <c r="F54">
        <v>0.14599999999999999</v>
      </c>
      <c r="G54">
        <v>1.9E-2</v>
      </c>
      <c r="H54">
        <f>INDEX(P_EF_Elec!$F:$F,MATCH(A54,P_EF_Elec!$A:$A,0))</f>
        <v>80.399413612565453</v>
      </c>
      <c r="I54">
        <f>INDEX(P_GasEff!$B:$B,MATCH(A54,P_GasEff!$A:$A,0))</f>
        <v>0.85</v>
      </c>
      <c r="J54">
        <f>INDEX(P_HPcop!$B:$B,MATCH(A54,P_HPcop!$A:$A,0))</f>
        <v>2</v>
      </c>
      <c r="K54">
        <f>C54*(63.28/I54)+D54*(79.8/0.84)+E54*H54+F54*(H54/J54)+G54*(1.1/0.65)</f>
        <v>71.117866733126448</v>
      </c>
      <c r="L54">
        <f>C54/I54+D54/0.84+E54+F54/J54+G54/0.65</f>
        <v>1.0476705451411332</v>
      </c>
    </row>
    <row r="55" spans="1:12">
      <c r="A55" t="s">
        <v>574</v>
      </c>
      <c r="B55" t="s">
        <v>674</v>
      </c>
      <c r="C55">
        <v>0.53300000000000003</v>
      </c>
      <c r="D55">
        <v>8.5999999999999993E-2</v>
      </c>
      <c r="E55">
        <v>0.216</v>
      </c>
      <c r="F55">
        <v>0.14599999999999999</v>
      </c>
      <c r="G55">
        <v>1.9E-2</v>
      </c>
      <c r="H55">
        <f>INDEX(P_EF_Elec!$F:$F,MATCH(A55,P_EF_Elec!$A:$A,0))</f>
        <v>69.775568300312841</v>
      </c>
      <c r="I55">
        <f>INDEX(P_GasEff!$B:$B,MATCH(A55,P_GasEff!$A:$A,0))</f>
        <v>0.85</v>
      </c>
      <c r="J55">
        <f>INDEX(P_HPcop!$B:$B,MATCH(A55,P_HPcop!$A:$A,0))</f>
        <v>2</v>
      </c>
      <c r="K55">
        <f>C55*(63.28/I55)+D55*(79.8/0.84)+E55*H55+F55*(H55/J55)+G55*(1.1/0.65)</f>
        <v>68.047575437885442</v>
      </c>
      <c r="L55">
        <f>C55/I55+D55/0.84+E55+F55/J55+G55/0.65</f>
        <v>1.0476705451411332</v>
      </c>
    </row>
    <row r="56" spans="1:12">
      <c r="A56" t="s">
        <v>575</v>
      </c>
      <c r="B56" t="s">
        <v>674</v>
      </c>
      <c r="C56">
        <v>0.53300000000000003</v>
      </c>
      <c r="D56">
        <v>8.5999999999999993E-2</v>
      </c>
      <c r="E56">
        <v>0.216</v>
      </c>
      <c r="F56">
        <v>0.14599999999999999</v>
      </c>
      <c r="G56">
        <v>1.9E-2</v>
      </c>
      <c r="H56">
        <f>INDEX(P_EF_Elec!$F:$F,MATCH(A56,P_EF_Elec!$A:$A,0))</f>
        <v>43.654994786235669</v>
      </c>
      <c r="I56">
        <f>INDEX(P_GasEff!$B:$B,MATCH(A56,P_GasEff!$A:$A,0))</f>
        <v>0.85</v>
      </c>
      <c r="J56">
        <f>INDEX(P_HPcop!$B:$B,MATCH(A56,P_HPcop!$A:$A,0))</f>
        <v>2</v>
      </c>
      <c r="K56">
        <f>C56*(63.28/I56)+D56*(79.8/0.84)+E56*H56+F56*(H56/J56)+G56*(1.1/0.65)</f>
        <v>60.498729692317141</v>
      </c>
      <c r="L56">
        <f>C56/I56+D56/0.84+E56+F56/J56+G56/0.65</f>
        <v>1.0476705451411332</v>
      </c>
    </row>
    <row r="57" spans="1:12">
      <c r="A57" t="s">
        <v>576</v>
      </c>
      <c r="B57" t="s">
        <v>674</v>
      </c>
      <c r="C57">
        <v>0.53300000000000003</v>
      </c>
      <c r="D57">
        <v>8.5999999999999993E-2</v>
      </c>
      <c r="E57">
        <v>0.216</v>
      </c>
      <c r="F57">
        <v>0.14599999999999999</v>
      </c>
      <c r="G57">
        <v>1.9E-2</v>
      </c>
      <c r="H57">
        <f>INDEX(P_EF_Elec!$F:$F,MATCH(A57,P_EF_Elec!$A:$A,0))</f>
        <v>94.947872784150164</v>
      </c>
      <c r="I57">
        <f>INDEX(P_GasEff!$B:$B,MATCH(A57,P_GasEff!$A:$A,0))</f>
        <v>0.85</v>
      </c>
      <c r="J57">
        <f>INDEX(P_HPcop!$B:$B,MATCH(A57,P_HPcop!$A:$A,0))</f>
        <v>2</v>
      </c>
      <c r="K57">
        <f>C57*(63.28/I57)+D57*(79.8/0.84)+E57*H57+F57*(H57/J57)+G57*(1.1/0.65)</f>
        <v>75.322371433714423</v>
      </c>
      <c r="L57">
        <f>C57/I57+D57/0.84+E57+F57/J57+G57/0.65</f>
        <v>1.0476705451411332</v>
      </c>
    </row>
    <row r="58" spans="1:12">
      <c r="A58" t="s">
        <v>577</v>
      </c>
      <c r="B58" t="s">
        <v>674</v>
      </c>
      <c r="C58">
        <v>0.53300000000000003</v>
      </c>
      <c r="D58">
        <v>8.5999999999999993E-2</v>
      </c>
      <c r="E58">
        <v>0.216</v>
      </c>
      <c r="F58">
        <v>0.14599999999999999</v>
      </c>
      <c r="G58">
        <v>1.9E-2</v>
      </c>
      <c r="H58">
        <f>INDEX(P_EF_Elec!$F:$F,MATCH(A58,P_EF_Elec!$A:$A,0))</f>
        <v>109.74437122002087</v>
      </c>
      <c r="I58">
        <f>INDEX(P_GasEff!$B:$B,MATCH(A58,P_GasEff!$A:$A,0))</f>
        <v>0.85</v>
      </c>
      <c r="J58">
        <f>INDEX(P_HPcop!$B:$B,MATCH(A58,P_HPcop!$A:$A,0))</f>
        <v>2</v>
      </c>
      <c r="K58">
        <f>C58*(63.28/I58)+D58*(79.8/0.84)+E58*H58+F58*(H58/J58)+G58*(1.1/0.65)</f>
        <v>79.598559481681065</v>
      </c>
      <c r="L58">
        <f>C58/I58+D58/0.84+E58+F58/J58+G58/0.65</f>
        <v>1.0476705451411332</v>
      </c>
    </row>
    <row r="59" spans="1:12">
      <c r="A59" t="s">
        <v>578</v>
      </c>
      <c r="B59" t="s">
        <v>674</v>
      </c>
      <c r="C59">
        <v>0.53300000000000003</v>
      </c>
      <c r="D59">
        <v>8.5999999999999993E-2</v>
      </c>
      <c r="E59">
        <v>0.216</v>
      </c>
      <c r="F59">
        <v>0.14599999999999999</v>
      </c>
      <c r="G59">
        <v>1.9E-2</v>
      </c>
      <c r="H59">
        <f>INDEX(P_EF_Elec!$F:$F,MATCH(A59,P_EF_Elec!$A:$A,0))</f>
        <v>139.05113660062568</v>
      </c>
      <c r="I59">
        <f>INDEX(P_GasEff!$B:$B,MATCH(A59,P_GasEff!$A:$A,0))</f>
        <v>0.85</v>
      </c>
      <c r="J59">
        <f>INDEX(P_HPcop!$B:$B,MATCH(A59,P_HPcop!$A:$A,0))</f>
        <v>2</v>
      </c>
      <c r="K59">
        <f>C59*(63.28/I59)+D59*(79.8/0.84)+E59*H59+F59*(H59/J59)+G59*(1.1/0.65)</f>
        <v>88.068214676675851</v>
      </c>
      <c r="L59">
        <f>C59/I59+D59/0.84+E59+F59/J59+G59/0.65</f>
        <v>1.0476705451411332</v>
      </c>
    </row>
    <row r="60" spans="1:12">
      <c r="A60" t="s">
        <v>579</v>
      </c>
      <c r="B60" t="s">
        <v>674</v>
      </c>
      <c r="C60">
        <v>0.53300000000000003</v>
      </c>
      <c r="D60">
        <v>8.5999999999999993E-2</v>
      </c>
      <c r="E60">
        <v>0.216</v>
      </c>
      <c r="F60">
        <v>0.14599999999999999</v>
      </c>
      <c r="G60">
        <v>1.9E-2</v>
      </c>
      <c r="H60">
        <f>INDEX(P_EF_Elec!$F:$F,MATCH(A60,P_EF_Elec!$A:$A,0))</f>
        <v>6.6538722513089015</v>
      </c>
      <c r="I60">
        <f>INDEX(P_GasEff!$B:$B,MATCH(A60,P_GasEff!$A:$A,0))</f>
        <v>0.85</v>
      </c>
      <c r="J60">
        <f>INDEX(P_HPcop!$B:$B,MATCH(A60,P_HPcop!$A:$A,0))</f>
        <v>2</v>
      </c>
      <c r="K60">
        <f>C60*(63.28/I60)+D60*(79.8/0.84)+E60*H60+F60*(H60/J60)+G60*(1.1/0.65)</f>
        <v>49.805405279723303</v>
      </c>
      <c r="L60">
        <f>C60/I60+D60/0.84+E60+F60/J60+G60/0.65</f>
        <v>1.0476705451411332</v>
      </c>
    </row>
    <row r="61" spans="1:12">
      <c r="A61" t="s">
        <v>580</v>
      </c>
      <c r="B61" t="s">
        <v>674</v>
      </c>
      <c r="C61">
        <v>0.53300000000000003</v>
      </c>
      <c r="D61">
        <v>8.5999999999999993E-2</v>
      </c>
      <c r="E61">
        <v>0.216</v>
      </c>
      <c r="F61">
        <v>0.14599999999999999</v>
      </c>
      <c r="G61">
        <v>1.9E-2</v>
      </c>
      <c r="H61">
        <f>INDEX(P_EF_Elec!$F:$F,MATCH(A61,P_EF_Elec!$A:$A,0))</f>
        <v>70.775568300312841</v>
      </c>
      <c r="I61">
        <f>INDEX(P_GasEff!$B:$B,MATCH(A61,P_GasEff!$A:$A,0))</f>
        <v>0.85</v>
      </c>
      <c r="J61">
        <f>INDEX(P_HPcop!$B:$B,MATCH(A61,P_HPcop!$A:$A,0))</f>
        <v>2</v>
      </c>
      <c r="K61">
        <f>C61*(63.28/I61)+D61*(79.8/0.84)+E61*H61+F61*(H61/J61)+G61*(1.1/0.65)</f>
        <v>68.336575437885443</v>
      </c>
      <c r="L61">
        <f>C61/I61+D61/0.84+E61+F61/J61+G61/0.65</f>
        <v>1.0476705451411332</v>
      </c>
    </row>
    <row r="62" spans="1:12">
      <c r="A62" t="s">
        <v>582</v>
      </c>
      <c r="B62" t="s">
        <v>674</v>
      </c>
      <c r="C62">
        <v>0.53300000000000003</v>
      </c>
      <c r="D62">
        <v>8.5999999999999993E-2</v>
      </c>
      <c r="E62">
        <v>0.216</v>
      </c>
      <c r="F62">
        <v>0.14599999999999999</v>
      </c>
      <c r="G62">
        <v>1.9E-2</v>
      </c>
      <c r="H62">
        <f>INDEX(P_EF_Elec!$F:$F,MATCH(A62,P_EF_Elec!$A:$A,0))</f>
        <v>186.75289446186</v>
      </c>
      <c r="I62">
        <f>INDEX(P_GasEff!$B:$B,MATCH(A62,P_GasEff!$A:$A,0))</f>
        <v>0.85</v>
      </c>
      <c r="J62">
        <f>INDEX(P_HPcop!$B:$B,MATCH(A62,P_HPcop!$A:$A,0))</f>
        <v>2</v>
      </c>
      <c r="K62">
        <f>C62*(63.28/I62)+D62*(79.8/0.84)+E62*H62+F62*(H62/J62)+G62*(1.1/0.65)</f>
        <v>101.85402269857256</v>
      </c>
      <c r="L62">
        <f>C62/I62+D62/0.84+E62+F62/J62+G62/0.65</f>
        <v>1.0476705451411332</v>
      </c>
    </row>
    <row r="63" spans="1:12">
      <c r="A63" t="s">
        <v>583</v>
      </c>
      <c r="B63" t="s">
        <v>674</v>
      </c>
      <c r="C63">
        <v>0.53300000000000003</v>
      </c>
      <c r="D63">
        <v>8.5999999999999993E-2</v>
      </c>
      <c r="E63">
        <v>0.216</v>
      </c>
      <c r="F63">
        <v>0.14599999999999999</v>
      </c>
      <c r="G63">
        <v>1.9E-2</v>
      </c>
      <c r="H63">
        <f>INDEX(P_EF_Elec!$F:$F,MATCH(A63,P_EF_Elec!$A:$A,0))</f>
        <v>120.67190823774766</v>
      </c>
      <c r="I63">
        <f>INDEX(P_GasEff!$B:$B,MATCH(A63,P_GasEff!$A:$A,0))</f>
        <v>0.85</v>
      </c>
      <c r="J63">
        <f>INDEX(P_HPcop!$B:$B,MATCH(A63,P_HPcop!$A:$A,0))</f>
        <v>2</v>
      </c>
      <c r="K63">
        <f>C63*(63.28/I63)+D63*(79.8/0.84)+E63*H63+F63*(H63/J63)+G63*(1.1/0.65)</f>
        <v>82.756617679804094</v>
      </c>
      <c r="L63">
        <f>C63/I63+D63/0.84+E63+F63/J63+G63/0.65</f>
        <v>1.0476705451411332</v>
      </c>
    </row>
    <row r="64" spans="1:12">
      <c r="A64" t="s">
        <v>584</v>
      </c>
      <c r="B64" t="s">
        <v>674</v>
      </c>
      <c r="C64">
        <v>0.53300000000000003</v>
      </c>
      <c r="D64">
        <v>8.5999999999999993E-2</v>
      </c>
      <c r="E64">
        <v>0.216</v>
      </c>
      <c r="F64">
        <v>0.14599999999999999</v>
      </c>
      <c r="G64">
        <v>1.9E-2</v>
      </c>
      <c r="H64">
        <f>INDEX(P_EF_Elec!$F:$F,MATCH(A64,P_EF_Elec!$A:$A,0))</f>
        <v>185.89574556830033</v>
      </c>
      <c r="I64">
        <f>INDEX(P_GasEff!$B:$B,MATCH(A64,P_GasEff!$A:$A,0))</f>
        <v>0.85</v>
      </c>
      <c r="J64">
        <f>INDEX(P_HPcop!$B:$B,MATCH(A64,P_HPcop!$A:$A,0))</f>
        <v>2</v>
      </c>
      <c r="K64">
        <f>C64*(63.28/I64)+D64*(79.8/0.84)+E64*H64+F64*(H64/J64)+G64*(1.1/0.65)</f>
        <v>101.60630666833381</v>
      </c>
      <c r="L64">
        <f>C64/I64+D64/0.84+E64+F64/J64+G64/0.65</f>
        <v>1.0476705451411332</v>
      </c>
    </row>
    <row r="65" spans="1:12">
      <c r="A65" t="s">
        <v>585</v>
      </c>
      <c r="B65" t="s">
        <v>674</v>
      </c>
      <c r="C65">
        <v>0.53300000000000003</v>
      </c>
      <c r="D65">
        <v>8.5999999999999993E-2</v>
      </c>
      <c r="E65">
        <v>0.216</v>
      </c>
      <c r="F65">
        <v>0.14599999999999999</v>
      </c>
      <c r="G65">
        <v>1.9E-2</v>
      </c>
      <c r="H65">
        <f>INDEX(P_EF_Elec!$F:$F,MATCH(A65,P_EF_Elec!$A:$A,0))</f>
        <v>92.703766666666667</v>
      </c>
      <c r="I65">
        <f>INDEX(P_GasEff!$B:$B,MATCH(A65,P_GasEff!$A:$A,0))</f>
        <v>0.85</v>
      </c>
      <c r="J65">
        <f>INDEX(P_HPcop!$B:$B,MATCH(A65,P_HPcop!$A:$A,0))</f>
        <v>2</v>
      </c>
      <c r="K65">
        <f>C65*(63.28/I65)+D65*(79.8/0.84)+E65*H65+F65*(H65/J65)+G65*(1.1/0.65)</f>
        <v>74.673824765761694</v>
      </c>
      <c r="L65">
        <f>C65/I65+D65/0.84+E65+F65/J65+G65/0.65</f>
        <v>1.0476705451411332</v>
      </c>
    </row>
    <row r="66" spans="1:12">
      <c r="A66" t="s">
        <v>675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66"/>
  <sheetViews>
    <sheetView workbookViewId="0"/>
  </sheetViews>
  <sheetFormatPr defaultRowHeight="15"/>
  <sheetData>
    <row r="1" spans="1:9">
      <c r="A1" s="19" t="s">
        <v>521</v>
      </c>
      <c r="B1" s="19" t="s">
        <v>663</v>
      </c>
      <c r="C1" s="19" t="s">
        <v>664</v>
      </c>
      <c r="D1" s="19" t="s">
        <v>676</v>
      </c>
      <c r="E1" s="19" t="s">
        <v>665</v>
      </c>
      <c r="F1" s="19" t="s">
        <v>677</v>
      </c>
      <c r="G1" s="19" t="s">
        <v>669</v>
      </c>
      <c r="H1" s="19" t="s">
        <v>672</v>
      </c>
      <c r="I1" s="19" t="s">
        <v>678</v>
      </c>
    </row>
    <row r="2" spans="1:9">
      <c r="A2" t="s">
        <v>523</v>
      </c>
      <c r="B2" t="s">
        <v>540</v>
      </c>
      <c r="C2">
        <v>0.49</v>
      </c>
      <c r="D2">
        <v>0.49199999999999999</v>
      </c>
      <c r="E2">
        <v>1.7999999999999999E-2</v>
      </c>
      <c r="F2">
        <v>0</v>
      </c>
      <c r="G2">
        <f>INDEX(P_EF_Elec!$F:$F,MATCH(A2,P_EF_Elec!$A:$A,0))</f>
        <v>0.6722226</v>
      </c>
      <c r="H2">
        <f>C2*(63.28/0.6)+D2*(G2/0.9)+E2*(79.8/0.59)+F2*(G2/2.5)</f>
        <v>54.480724625853099</v>
      </c>
      <c r="I2">
        <f>C2/0.6+D2/0.9+E2/0.59+F2/2.5</f>
        <v>1.3938418079096044</v>
      </c>
    </row>
    <row r="3" spans="1:9">
      <c r="A3" t="s">
        <v>524</v>
      </c>
      <c r="B3" t="s">
        <v>540</v>
      </c>
      <c r="C3">
        <v>0.49</v>
      </c>
      <c r="D3">
        <v>0.49199999999999999</v>
      </c>
      <c r="E3">
        <v>1.7999999999999999E-2</v>
      </c>
      <c r="F3">
        <v>0</v>
      </c>
      <c r="G3">
        <f>INDEX(P_EF_Elec!$F:$F,MATCH(A3,P_EF_Elec!$A:$A,0))</f>
        <v>13.955564000000001</v>
      </c>
      <c r="H3">
        <f>C3*(63.28/0.6)+D3*(G3/0.9)+E3*(79.8/0.59)+F3*(G3/2.5)</f>
        <v>61.742284591186433</v>
      </c>
      <c r="I3">
        <f>C3/0.6+D3/0.9+E3/0.59+F3/2.5</f>
        <v>1.3938418079096044</v>
      </c>
    </row>
    <row r="4" spans="1:9">
      <c r="A4" t="s">
        <v>525</v>
      </c>
      <c r="B4" t="s">
        <v>540</v>
      </c>
      <c r="C4">
        <v>0.49</v>
      </c>
      <c r="D4">
        <v>0.49199999999999999</v>
      </c>
      <c r="E4">
        <v>1.7999999999999999E-2</v>
      </c>
      <c r="F4">
        <v>0</v>
      </c>
      <c r="G4">
        <f>INDEX(P_EF_Elec!$F:$F,MATCH(A4,P_EF_Elec!$A:$A,0))</f>
        <v>158.81121999999999</v>
      </c>
      <c r="H4">
        <f>C4*(63.28/0.6)+D4*(G4/0.9)+E4*(79.8/0.59)+F4*(G4/2.5)</f>
        <v>140.93004320451976</v>
      </c>
      <c r="I4">
        <f>C4/0.6+D4/0.9+E4/0.59+F4/2.5</f>
        <v>1.3938418079096044</v>
      </c>
    </row>
    <row r="5" spans="1:9">
      <c r="A5" t="s">
        <v>526</v>
      </c>
      <c r="B5" t="s">
        <v>540</v>
      </c>
      <c r="C5">
        <v>0.49</v>
      </c>
      <c r="D5">
        <v>0.49199999999999999</v>
      </c>
      <c r="E5">
        <v>1.7999999999999999E-2</v>
      </c>
      <c r="F5">
        <v>0</v>
      </c>
      <c r="G5">
        <f>INDEX(P_EF_Elec!$F:$F,MATCH(A5,P_EF_Elec!$A:$A,0))</f>
        <v>5.4666700000000006</v>
      </c>
      <c r="H5">
        <f>C5*(63.28/0.6)+D5*(G5/0.9)+E5*(79.8/0.59)+F5*(G5/2.5)</f>
        <v>57.101689204519772</v>
      </c>
      <c r="I5">
        <f>C5/0.6+D5/0.9+E5/0.59+F5/2.5</f>
        <v>1.3938418079096044</v>
      </c>
    </row>
    <row r="6" spans="1:9">
      <c r="A6" t="s">
        <v>527</v>
      </c>
      <c r="B6" t="s">
        <v>540</v>
      </c>
      <c r="C6">
        <v>0.49</v>
      </c>
      <c r="D6">
        <v>0.49199999999999999</v>
      </c>
      <c r="E6">
        <v>1.7999999999999999E-2</v>
      </c>
      <c r="F6">
        <v>0</v>
      </c>
      <c r="G6">
        <f>INDEX(P_EF_Elec!$F:$F,MATCH(A6,P_EF_Elec!$A:$A,0))</f>
        <v>0.62777819999999995</v>
      </c>
      <c r="H6">
        <f>C6*(63.28/0.6)+D6*(G6/0.9)+E6*(79.8/0.59)+F6*(G6/2.5)</f>
        <v>54.456428353853099</v>
      </c>
      <c r="I6">
        <f>C6/0.6+D6/0.9+E6/0.59+F6/2.5</f>
        <v>1.3938418079096044</v>
      </c>
    </row>
    <row r="7" spans="1:9">
      <c r="A7" t="s">
        <v>528</v>
      </c>
      <c r="B7" t="s">
        <v>540</v>
      </c>
      <c r="C7">
        <v>0.49</v>
      </c>
      <c r="D7">
        <v>0.49199999999999999</v>
      </c>
      <c r="E7">
        <v>1.7999999999999999E-2</v>
      </c>
      <c r="F7">
        <v>0</v>
      </c>
      <c r="G7">
        <f>INDEX(P_EF_Elec!$F:$F,MATCH(A7,P_EF_Elec!$A:$A,0))</f>
        <v>206.88904000000002</v>
      </c>
      <c r="H7">
        <f>C7*(63.28/0.6)+D7*(G7/0.9)+E7*(79.8/0.59)+F7*(G7/2.5)</f>
        <v>167.21258480451976</v>
      </c>
      <c r="I7">
        <f>C7/0.6+D7/0.9+E7/0.59+F7/2.5</f>
        <v>1.3938418079096044</v>
      </c>
    </row>
    <row r="8" spans="1:9">
      <c r="A8" t="s">
        <v>529</v>
      </c>
      <c r="B8" t="s">
        <v>540</v>
      </c>
      <c r="C8">
        <v>0.49</v>
      </c>
      <c r="D8">
        <v>0.49199999999999999</v>
      </c>
      <c r="E8">
        <v>1.7999999999999999E-2</v>
      </c>
      <c r="F8">
        <v>0</v>
      </c>
      <c r="G8">
        <f>INDEX(P_EF_Elec!$F:$F,MATCH(A8,P_EF_Elec!$A:$A,0))</f>
        <v>178.55568000000002</v>
      </c>
      <c r="H8">
        <f>C8*(63.28/0.6)+D8*(G8/0.9)+E8*(79.8/0.59)+F8*(G8/2.5)</f>
        <v>151.72368133785312</v>
      </c>
      <c r="I8">
        <f>C8/0.6+D8/0.9+E8/0.59+F8/2.5</f>
        <v>1.3938418079096044</v>
      </c>
    </row>
    <row r="9" spans="1:9">
      <c r="A9" t="s">
        <v>530</v>
      </c>
      <c r="B9" t="s">
        <v>540</v>
      </c>
      <c r="C9">
        <v>0.49</v>
      </c>
      <c r="D9">
        <v>0.49199999999999999</v>
      </c>
      <c r="E9">
        <v>1.7999999999999999E-2</v>
      </c>
      <c r="F9">
        <v>0</v>
      </c>
      <c r="G9">
        <f>INDEX(P_EF_Elec!$F:$F,MATCH(A9,P_EF_Elec!$A:$A,0))</f>
        <v>63.000040000000006</v>
      </c>
      <c r="H9">
        <f>C9*(63.28/0.6)+D9*(G9/0.9)+E9*(79.8/0.59)+F9*(G9/2.5)</f>
        <v>88.553264804519785</v>
      </c>
      <c r="I9">
        <f>C9/0.6+D9/0.9+E9/0.59+F9/2.5</f>
        <v>1.3938418079096044</v>
      </c>
    </row>
    <row r="10" spans="1:9">
      <c r="A10" t="s">
        <v>531</v>
      </c>
      <c r="B10" t="s">
        <v>540</v>
      </c>
      <c r="C10">
        <v>0.49</v>
      </c>
      <c r="D10">
        <v>0.49199999999999999</v>
      </c>
      <c r="E10">
        <v>1.7999999999999999E-2</v>
      </c>
      <c r="F10">
        <v>0</v>
      </c>
      <c r="G10">
        <f>INDEX(P_EF_Elec!$F:$F,MATCH(A10,P_EF_Elec!$A:$A,0))</f>
        <v>7.1111160000000009</v>
      </c>
      <c r="H10">
        <f>C10*(63.28/0.6)+D10*(G10/0.9)+E10*(79.8/0.59)+F10*(G10/2.5)</f>
        <v>58.000653017853111</v>
      </c>
      <c r="I10">
        <f>C10/0.6+D10/0.9+E10/0.59+F10/2.5</f>
        <v>1.3938418079096044</v>
      </c>
    </row>
    <row r="11" spans="1:9">
      <c r="A11" t="s">
        <v>532</v>
      </c>
      <c r="B11" t="s">
        <v>540</v>
      </c>
      <c r="C11">
        <v>0.49</v>
      </c>
      <c r="D11">
        <v>0.49199999999999999</v>
      </c>
      <c r="E11">
        <v>1.7999999999999999E-2</v>
      </c>
      <c r="F11">
        <v>0</v>
      </c>
      <c r="G11">
        <f>INDEX(P_EF_Elec!$F:$F,MATCH(A11,P_EF_Elec!$A:$A,0))</f>
        <v>87.444500000000005</v>
      </c>
      <c r="H11">
        <f>C11*(63.28/0.6)+D11*(G11/0.9)+E11*(79.8/0.59)+F11*(G11/2.5)</f>
        <v>101.91623627118645</v>
      </c>
      <c r="I11">
        <f>C11/0.6+D11/0.9+E11/0.59+F11/2.5</f>
        <v>1.3938418079096044</v>
      </c>
    </row>
    <row r="12" spans="1:9">
      <c r="A12" t="s">
        <v>533</v>
      </c>
      <c r="B12" t="s">
        <v>540</v>
      </c>
      <c r="C12">
        <v>0.49</v>
      </c>
      <c r="D12">
        <v>0.49199999999999999</v>
      </c>
      <c r="E12">
        <v>1.7999999999999999E-2</v>
      </c>
      <c r="F12">
        <v>0</v>
      </c>
      <c r="G12">
        <f>INDEX(P_EF_Elec!$F:$F,MATCH(A12,P_EF_Elec!$A:$A,0))</f>
        <v>14.611120000000001</v>
      </c>
      <c r="H12">
        <f>C12*(63.28/0.6)+D12*(G12/0.9)+E12*(79.8/0.59)+F12*(G12/2.5)</f>
        <v>62.100655204519768</v>
      </c>
      <c r="I12">
        <f>C12/0.6+D12/0.9+E12/0.59+F12/2.5</f>
        <v>1.3938418079096044</v>
      </c>
    </row>
    <row r="13" spans="1:9">
      <c r="A13" t="s">
        <v>534</v>
      </c>
      <c r="B13" t="s">
        <v>540</v>
      </c>
      <c r="C13">
        <v>0.49</v>
      </c>
      <c r="D13">
        <v>0.49199999999999999</v>
      </c>
      <c r="E13">
        <v>1.7999999999999999E-2</v>
      </c>
      <c r="F13">
        <v>0</v>
      </c>
      <c r="G13">
        <f>INDEX(P_EF_Elec!$F:$F,MATCH(A13,P_EF_Elec!$A:$A,0))</f>
        <v>105.77784000000001</v>
      </c>
      <c r="H13">
        <f>C13*(63.28/0.6)+D13*(G13/0.9)+E13*(79.8/0.59)+F13*(G13/2.5)</f>
        <v>111.93846213785311</v>
      </c>
      <c r="I13">
        <f>C13/0.6+D13/0.9+E13/0.59+F13/2.5</f>
        <v>1.3938418079096044</v>
      </c>
    </row>
    <row r="14" spans="1:9">
      <c r="A14" t="s">
        <v>535</v>
      </c>
      <c r="B14" t="s">
        <v>540</v>
      </c>
      <c r="C14">
        <v>0.49</v>
      </c>
      <c r="D14">
        <v>0.49199999999999999</v>
      </c>
      <c r="E14">
        <v>1.7999999999999999E-2</v>
      </c>
      <c r="F14">
        <v>0</v>
      </c>
      <c r="G14">
        <f>INDEX(P_EF_Elec!$F:$F,MATCH(A14,P_EF_Elec!$A:$A,0))</f>
        <v>250.66684000000001</v>
      </c>
      <c r="H14">
        <f>C14*(63.28/0.6)+D14*(G14/0.9)+E14*(79.8/0.59)+F14*(G14/2.5)</f>
        <v>191.14444880451975</v>
      </c>
      <c r="I14">
        <f>C14/0.6+D14/0.9+E14/0.59+F14/2.5</f>
        <v>1.3938418079096044</v>
      </c>
    </row>
    <row r="15" spans="1:9">
      <c r="A15" t="s">
        <v>541</v>
      </c>
      <c r="B15" t="s">
        <v>674</v>
      </c>
      <c r="C15">
        <v>0.48199999999999998</v>
      </c>
      <c r="D15">
        <v>0.46300000000000002</v>
      </c>
      <c r="E15">
        <v>5.5E-2</v>
      </c>
      <c r="F15">
        <v>0</v>
      </c>
      <c r="G15">
        <f>INDEX(P_EF_Elec!$F:$F,MATCH(A15,P_EF_Elec!$A:$A,0))</f>
        <v>153.39590406673619</v>
      </c>
      <c r="H15">
        <f>C15*(63.28/0.6)+D15*(G15/0.9)+E15*(79.8/0.59)+F15*(G15/2.5)</f>
        <v>137.18758703184619</v>
      </c>
      <c r="I15">
        <f>C15/0.6+D15/0.9+E15/0.59+F15/2.5</f>
        <v>1.4109981167608285</v>
      </c>
    </row>
    <row r="16" spans="1:9">
      <c r="A16" t="s">
        <v>557</v>
      </c>
      <c r="B16" t="s">
        <v>674</v>
      </c>
      <c r="C16">
        <v>0.48199999999999998</v>
      </c>
      <c r="D16">
        <v>0.46300000000000002</v>
      </c>
      <c r="E16">
        <v>5.5E-2</v>
      </c>
      <c r="F16">
        <v>0</v>
      </c>
      <c r="G16">
        <f>INDEX(P_EF_Elec!$F:$F,MATCH(A16,P_EF_Elec!$A:$A,0))</f>
        <v>119.01478705636745</v>
      </c>
      <c r="H16">
        <f>C16*(63.28/0.6)+D16*(G16/0.9)+E16*(79.8/0.59)+F16*(G16/2.5)</f>
        <v>119.50041239206759</v>
      </c>
      <c r="I16">
        <f>C16/0.6+D16/0.9+E16/0.59+F16/2.5</f>
        <v>1.4109981167608285</v>
      </c>
    </row>
    <row r="17" spans="1:9">
      <c r="A17" t="s">
        <v>4</v>
      </c>
      <c r="B17" t="s">
        <v>674</v>
      </c>
      <c r="C17">
        <v>0.48199999999999998</v>
      </c>
      <c r="D17">
        <v>0.46300000000000002</v>
      </c>
      <c r="E17">
        <v>5.5E-2</v>
      </c>
      <c r="F17">
        <v>0</v>
      </c>
      <c r="G17">
        <f>INDEX(P_EF_Elec!$F:$F,MATCH(A17,P_EF_Elec!$A:$A,0))</f>
        <v>73.561100208768281</v>
      </c>
      <c r="H17">
        <f>C17*(63.28/0.6)+D17*(G17/0.9)+E17*(79.8/0.59)+F17*(G17/2.5)</f>
        <v>96.117015713802701</v>
      </c>
      <c r="I17">
        <f>C17/0.6+D17/0.9+E17/0.59+F17/2.5</f>
        <v>1.4109981167608285</v>
      </c>
    </row>
    <row r="18" spans="1:9">
      <c r="A18" t="s">
        <v>581</v>
      </c>
      <c r="B18" t="s">
        <v>674</v>
      </c>
      <c r="C18">
        <v>0.48199999999999998</v>
      </c>
      <c r="D18">
        <v>0.46300000000000002</v>
      </c>
      <c r="E18">
        <v>5.5E-2</v>
      </c>
      <c r="F18">
        <v>0</v>
      </c>
      <c r="G18">
        <f>INDEX(P_EF_Elec!$F:$F,MATCH(A18,P_EF_Elec!$A:$A,0))</f>
        <v>40.299841501564131</v>
      </c>
      <c r="H18">
        <f>C18*(63.28/0.6)+D18*(G18/0.9)+E18*(79.8/0.59)+F18*(G18/2.5)</f>
        <v>79.005945956652113</v>
      </c>
      <c r="I18">
        <f>C18/0.6+D18/0.9+E18/0.59+F18/2.5</f>
        <v>1.4109981167608285</v>
      </c>
    </row>
    <row r="19" spans="1:9">
      <c r="A19" t="s">
        <v>536</v>
      </c>
      <c r="B19" t="s">
        <v>674</v>
      </c>
      <c r="C19">
        <v>0.48199999999999998</v>
      </c>
      <c r="D19">
        <v>0.46300000000000002</v>
      </c>
      <c r="E19">
        <v>5.5E-2</v>
      </c>
      <c r="F19">
        <v>0</v>
      </c>
      <c r="G19">
        <f>INDEX(P_EF_Elec!$F:$F,MATCH(A19,P_EF_Elec!$A:$A,0))</f>
        <v>125.464984358707</v>
      </c>
      <c r="H19">
        <f>C19*(63.28/0.6)+D19*(G19/0.9)+E19*(79.8/0.59)+F19*(G19/2.5)</f>
        <v>122.81868055982672</v>
      </c>
      <c r="I19">
        <f>C19/0.6+D19/0.9+E19/0.59+F19/2.5</f>
        <v>1.4109981167608285</v>
      </c>
    </row>
    <row r="20" spans="1:9">
      <c r="A20" t="s">
        <v>537</v>
      </c>
      <c r="B20" t="s">
        <v>674</v>
      </c>
      <c r="C20">
        <v>0.48199999999999998</v>
      </c>
      <c r="D20">
        <v>0.46300000000000002</v>
      </c>
      <c r="E20">
        <v>5.5E-2</v>
      </c>
      <c r="F20">
        <v>0</v>
      </c>
      <c r="G20">
        <f>INDEX(P_EF_Elec!$F:$F,MATCH(A20,P_EF_Elec!$A:$A,0))</f>
        <v>129.04771428571431</v>
      </c>
      <c r="H20">
        <f>C20*(63.28/0.6)+D20*(G20/0.9)+E20*(79.8/0.59)+F20*(G20/2.5)</f>
        <v>124.66179606672047</v>
      </c>
      <c r="I20">
        <f>C20/0.6+D20/0.9+E20/0.59+F20/2.5</f>
        <v>1.4109981167608285</v>
      </c>
    </row>
    <row r="21" spans="1:9">
      <c r="A21" t="s">
        <v>538</v>
      </c>
      <c r="B21" t="s">
        <v>674</v>
      </c>
      <c r="C21">
        <v>0.48199999999999998</v>
      </c>
      <c r="D21">
        <v>0.46300000000000002</v>
      </c>
      <c r="E21">
        <v>5.5E-2</v>
      </c>
      <c r="F21">
        <v>0</v>
      </c>
      <c r="G21">
        <f>INDEX(P_EF_Elec!$F:$F,MATCH(A21,P_EF_Elec!$A:$A,0))</f>
        <v>103.68921793534933</v>
      </c>
      <c r="H21">
        <f>C21*(63.28/0.6)+D21*(G21/0.9)+E21*(79.8/0.59)+F21*(G21/2.5)</f>
        <v>111.6162584998105</v>
      </c>
      <c r="I21">
        <f>C21/0.6+D21/0.9+E21/0.59+F21/2.5</f>
        <v>1.4109981167608285</v>
      </c>
    </row>
    <row r="22" spans="1:9">
      <c r="A22" t="s">
        <v>539</v>
      </c>
      <c r="B22" t="s">
        <v>674</v>
      </c>
      <c r="C22">
        <v>0.48199999999999998</v>
      </c>
      <c r="D22">
        <v>0.46300000000000002</v>
      </c>
      <c r="E22">
        <v>5.5E-2</v>
      </c>
      <c r="F22">
        <v>0</v>
      </c>
      <c r="G22">
        <f>INDEX(P_EF_Elec!$F:$F,MATCH(A22,P_EF_Elec!$A:$A,0))</f>
        <v>108.11333263816476</v>
      </c>
      <c r="H22">
        <f>C22*(63.28/0.6)+D22*(G22/0.9)+E22*(79.8/0.59)+F22*(G22/2.5)</f>
        <v>113.89221973025889</v>
      </c>
      <c r="I22">
        <f>C22/0.6+D22/0.9+E22/0.59+F22/2.5</f>
        <v>1.4109981167608285</v>
      </c>
    </row>
    <row r="23" spans="1:9">
      <c r="A23" t="s">
        <v>540</v>
      </c>
      <c r="B23" t="s">
        <v>674</v>
      </c>
      <c r="C23">
        <v>0.48199999999999998</v>
      </c>
      <c r="D23">
        <v>0.46300000000000002</v>
      </c>
      <c r="E23">
        <v>5.5E-2</v>
      </c>
      <c r="F23">
        <v>0</v>
      </c>
      <c r="G23">
        <f>INDEX(P_EF_Elec!$F:$F,MATCH(A23,P_EF_Elec!$A:$A,0))</f>
        <v>67.9824921793535</v>
      </c>
      <c r="H23">
        <f>C23*(63.28/0.6)+D23*(G23/0.9)+E23*(79.8/0.59)+F23*(G23/2.5)</f>
        <v>93.247131805337077</v>
      </c>
      <c r="I23">
        <f>C23/0.6+D23/0.9+E23/0.59+F23/2.5</f>
        <v>1.4109981167608285</v>
      </c>
    </row>
    <row r="24" spans="1:9">
      <c r="A24" t="s">
        <v>542</v>
      </c>
      <c r="B24" t="s">
        <v>674</v>
      </c>
      <c r="C24">
        <v>0.48199999999999998</v>
      </c>
      <c r="D24">
        <v>0.46300000000000002</v>
      </c>
      <c r="E24">
        <v>5.5E-2</v>
      </c>
      <c r="F24">
        <v>0</v>
      </c>
      <c r="G24">
        <f>INDEX(P_EF_Elec!$F:$F,MATCH(A24,P_EF_Elec!$A:$A,0))</f>
        <v>62.901727748691101</v>
      </c>
      <c r="H24">
        <f>C24*(63.28/0.6)+D24*(G24/0.9)+E24*(79.8/0.59)+F24*(G24/2.5)</f>
        <v>90.633360770451873</v>
      </c>
      <c r="I24">
        <f>C24/0.6+D24/0.9+E24/0.59+F24/2.5</f>
        <v>1.4109981167608285</v>
      </c>
    </row>
    <row r="25" spans="1:9">
      <c r="A25" t="s">
        <v>543</v>
      </c>
      <c r="B25" t="s">
        <v>674</v>
      </c>
      <c r="C25">
        <v>0.48199999999999998</v>
      </c>
      <c r="D25">
        <v>0.46300000000000002</v>
      </c>
      <c r="E25">
        <v>5.5E-2</v>
      </c>
      <c r="F25">
        <v>0</v>
      </c>
      <c r="G25">
        <f>INDEX(P_EF_Elec!$F:$F,MATCH(A25,P_EF_Elec!$A:$A,0))</f>
        <v>92.703766666666667</v>
      </c>
      <c r="H25">
        <f>C25*(63.28/0.6)+D25*(G25/0.9)+E25*(79.8/0.59)+F25*(G25/2.5)</f>
        <v>105.96485412492153</v>
      </c>
      <c r="I25">
        <f>C25/0.6+D25/0.9+E25/0.59+F25/2.5</f>
        <v>1.4109981167608285</v>
      </c>
    </row>
    <row r="26" spans="1:9">
      <c r="A26" t="s">
        <v>544</v>
      </c>
      <c r="B26" t="s">
        <v>674</v>
      </c>
      <c r="C26">
        <v>0.48199999999999998</v>
      </c>
      <c r="D26">
        <v>0.46300000000000002</v>
      </c>
      <c r="E26">
        <v>5.5E-2</v>
      </c>
      <c r="F26">
        <v>0</v>
      </c>
      <c r="G26">
        <f>INDEX(P_EF_Elec!$F:$F,MATCH(A26,P_EF_Elec!$A:$A,0))</f>
        <v>116.61675495307612</v>
      </c>
      <c r="H26">
        <f>C26*(63.28/0.6)+D26*(G26/0.9)+E26*(79.8/0.59)+F26*(G26/2.5)</f>
        <v>118.26675809892994</v>
      </c>
      <c r="I26">
        <f>C26/0.6+D26/0.9+E26/0.59+F26/2.5</f>
        <v>1.4109981167608285</v>
      </c>
    </row>
    <row r="27" spans="1:9">
      <c r="A27" t="s">
        <v>545</v>
      </c>
      <c r="B27" t="s">
        <v>674</v>
      </c>
      <c r="C27">
        <v>0.48199999999999998</v>
      </c>
      <c r="D27">
        <v>0.46300000000000002</v>
      </c>
      <c r="E27">
        <v>5.5E-2</v>
      </c>
      <c r="F27">
        <v>0</v>
      </c>
      <c r="G27">
        <f>INDEX(P_EF_Elec!$F:$F,MATCH(A27,P_EF_Elec!$A:$A,0))</f>
        <v>112.87883211678833</v>
      </c>
      <c r="H27">
        <f>C27*(63.28/0.6)+D27*(G27/0.9)+E27*(79.8/0.59)+F27*(G27/2.5)</f>
        <v>116.34380446203967</v>
      </c>
      <c r="I27">
        <f>C27/0.6+D27/0.9+E27/0.59+F27/2.5</f>
        <v>1.4109981167608285</v>
      </c>
    </row>
    <row r="28" spans="1:9">
      <c r="A28" t="s">
        <v>546</v>
      </c>
      <c r="B28" t="s">
        <v>674</v>
      </c>
      <c r="C28">
        <v>0.48199999999999998</v>
      </c>
      <c r="D28">
        <v>0.46300000000000002</v>
      </c>
      <c r="E28">
        <v>5.5E-2</v>
      </c>
      <c r="F28">
        <v>0</v>
      </c>
      <c r="G28">
        <f>INDEX(P_EF_Elec!$F:$F,MATCH(A28,P_EF_Elec!$A:$A,0))</f>
        <v>193.79228362878001</v>
      </c>
      <c r="H28">
        <f>C28*(63.28/0.6)+D28*(G28/0.9)+E28*(79.8/0.59)+F28*(G28/2.5)</f>
        <v>157.96928007320875</v>
      </c>
      <c r="I28">
        <f>C28/0.6+D28/0.9+E28/0.59+F28/2.5</f>
        <v>1.4109981167608285</v>
      </c>
    </row>
    <row r="29" spans="1:9">
      <c r="A29" t="s">
        <v>547</v>
      </c>
      <c r="B29" t="s">
        <v>674</v>
      </c>
      <c r="C29">
        <v>0.48199999999999998</v>
      </c>
      <c r="D29">
        <v>0.46300000000000002</v>
      </c>
      <c r="E29">
        <v>5.5E-2</v>
      </c>
      <c r="F29">
        <v>0</v>
      </c>
      <c r="G29">
        <f>INDEX(P_EF_Elec!$F:$F,MATCH(A29,P_EF_Elec!$A:$A,0))</f>
        <v>26.672304483837333</v>
      </c>
      <c r="H29">
        <f>C29*(63.28/0.6)+D29*(G29/0.9)+E29*(79.8/0.59)+F29*(G29/2.5)</f>
        <v>71.995335246421547</v>
      </c>
      <c r="I29">
        <f>C29/0.6+D29/0.9+E29/0.59+F29/2.5</f>
        <v>1.4109981167608285</v>
      </c>
    </row>
    <row r="30" spans="1:9">
      <c r="A30" t="s">
        <v>548</v>
      </c>
      <c r="B30" t="s">
        <v>674</v>
      </c>
      <c r="C30">
        <v>0.48199999999999998</v>
      </c>
      <c r="D30">
        <v>0.46300000000000002</v>
      </c>
      <c r="E30">
        <v>5.5E-2</v>
      </c>
      <c r="F30">
        <v>0</v>
      </c>
      <c r="G30">
        <f>INDEX(P_EF_Elec!$F:$F,MATCH(A30,P_EF_Elec!$A:$A,0))</f>
        <v>108.68553235908142</v>
      </c>
      <c r="H30">
        <f>C30*(63.28/0.6)+D30*(G30/0.9)+E30*(79.8/0.59)+F30*(G30/2.5)</f>
        <v>114.18658469779713</v>
      </c>
      <c r="I30">
        <f>C30/0.6+D30/0.9+E30/0.59+F30/2.5</f>
        <v>1.4109981167608285</v>
      </c>
    </row>
    <row r="31" spans="1:9">
      <c r="A31" t="s">
        <v>549</v>
      </c>
      <c r="B31" t="s">
        <v>674</v>
      </c>
      <c r="C31">
        <v>0.48199999999999998</v>
      </c>
      <c r="D31">
        <v>0.46300000000000002</v>
      </c>
      <c r="E31">
        <v>5.5E-2</v>
      </c>
      <c r="F31">
        <v>0</v>
      </c>
      <c r="G31">
        <f>INDEX(P_EF_Elec!$F:$F,MATCH(A31,P_EF_Elec!$A:$A,0))</f>
        <v>150.51920585161966</v>
      </c>
      <c r="H31">
        <f>C31*(63.28/0.6)+D31*(G31/0.9)+E31*(79.8/0.59)+F31*(G31/2.5)</f>
        <v>135.70768561673626</v>
      </c>
      <c r="I31">
        <f>C31/0.6+D31/0.9+E31/0.59+F31/2.5</f>
        <v>1.4109981167608285</v>
      </c>
    </row>
    <row r="32" spans="1:9">
      <c r="A32" t="s">
        <v>550</v>
      </c>
      <c r="B32" t="s">
        <v>674</v>
      </c>
      <c r="C32">
        <v>0.48199999999999998</v>
      </c>
      <c r="D32">
        <v>0.46300000000000002</v>
      </c>
      <c r="E32">
        <v>5.5E-2</v>
      </c>
      <c r="F32">
        <v>0</v>
      </c>
      <c r="G32">
        <f>INDEX(P_EF_Elec!$F:$F,MATCH(A32,P_EF_Elec!$A:$A,0))</f>
        <v>100.79267987486966</v>
      </c>
      <c r="H32">
        <f>C32*(63.28/0.6)+D32*(G32/0.9)+E32*(79.8/0.59)+F32*(G32/2.5)</f>
        <v>110.12615058647485</v>
      </c>
      <c r="I32">
        <f>C32/0.6+D32/0.9+E32/0.59+F32/2.5</f>
        <v>1.4109981167608285</v>
      </c>
    </row>
    <row r="33" spans="1:9">
      <c r="A33" t="s">
        <v>551</v>
      </c>
      <c r="B33" t="s">
        <v>674</v>
      </c>
      <c r="C33">
        <v>0.48199999999999998</v>
      </c>
      <c r="D33">
        <v>0.46300000000000002</v>
      </c>
      <c r="E33">
        <v>5.5E-2</v>
      </c>
      <c r="F33">
        <v>0</v>
      </c>
      <c r="G33">
        <f>INDEX(P_EF_Elec!$F:$F,MATCH(A33,P_EF_Elec!$A:$A,0))</f>
        <v>104.18921793534933</v>
      </c>
      <c r="H33">
        <f>C33*(63.28/0.6)+D33*(G33/0.9)+E33*(79.8/0.59)+F33*(G33/2.5)</f>
        <v>111.87348072203272</v>
      </c>
      <c r="I33">
        <f>C33/0.6+D33/0.9+E33/0.59+F33/2.5</f>
        <v>1.4109981167608285</v>
      </c>
    </row>
    <row r="34" spans="1:9">
      <c r="A34" t="s">
        <v>552</v>
      </c>
      <c r="B34" t="s">
        <v>674</v>
      </c>
      <c r="C34">
        <v>0.48199999999999998</v>
      </c>
      <c r="D34">
        <v>0.46300000000000002</v>
      </c>
      <c r="E34">
        <v>5.5E-2</v>
      </c>
      <c r="F34">
        <v>0</v>
      </c>
      <c r="G34">
        <f>INDEX(P_EF_Elec!$F:$F,MATCH(A34,P_EF_Elec!$A:$A,0))</f>
        <v>165.5321630094044</v>
      </c>
      <c r="H34">
        <f>C34*(63.28/0.6)+D34*(G34/0.9)+E34*(79.8/0.59)+F34*(G34/2.5)</f>
        <v>143.43101802124107</v>
      </c>
      <c r="I34">
        <f>C34/0.6+D34/0.9+E34/0.59+F34/2.5</f>
        <v>1.4109981167608285</v>
      </c>
    </row>
    <row r="35" spans="1:9">
      <c r="A35" t="s">
        <v>553</v>
      </c>
      <c r="B35" t="s">
        <v>674</v>
      </c>
      <c r="C35">
        <v>0.48199999999999998</v>
      </c>
      <c r="D35">
        <v>0.46300000000000002</v>
      </c>
      <c r="E35">
        <v>5.5E-2</v>
      </c>
      <c r="F35">
        <v>0</v>
      </c>
      <c r="G35">
        <f>INDEX(P_EF_Elec!$F:$F,MATCH(A35,P_EF_Elec!$A:$A,0))</f>
        <v>110.98229405630867</v>
      </c>
      <c r="H35">
        <f>C35*(63.28/0.6)+D35*(G35/0.9)+E35*(79.8/0.59)+F35*(G35/2.5)</f>
        <v>115.36814099314847</v>
      </c>
      <c r="I35">
        <f>C35/0.6+D35/0.9+E35/0.59+F35/2.5</f>
        <v>1.4109981167608285</v>
      </c>
    </row>
    <row r="36" spans="1:9">
      <c r="A36" t="s">
        <v>554</v>
      </c>
      <c r="B36" t="s">
        <v>674</v>
      </c>
      <c r="C36">
        <v>0.48199999999999998</v>
      </c>
      <c r="D36">
        <v>0.46300000000000002</v>
      </c>
      <c r="E36">
        <v>5.5E-2</v>
      </c>
      <c r="F36">
        <v>0</v>
      </c>
      <c r="G36">
        <f>INDEX(P_EF_Elec!$F:$F,MATCH(A36,P_EF_Elec!$A:$A,0))</f>
        <v>40.904041884816763</v>
      </c>
      <c r="H36">
        <f>C36*(63.28/0.6)+D36*(G36/0.9)+E36*(79.8/0.59)+F36*(G36/2.5)</f>
        <v>79.316773487147628</v>
      </c>
      <c r="I36">
        <f>C36/0.6+D36/0.9+E36/0.59+F36/2.5</f>
        <v>1.4109981167608285</v>
      </c>
    </row>
    <row r="37" spans="1:9">
      <c r="A37" t="s">
        <v>555</v>
      </c>
      <c r="B37" t="s">
        <v>674</v>
      </c>
      <c r="C37">
        <v>0.48199999999999998</v>
      </c>
      <c r="D37">
        <v>0.46300000000000002</v>
      </c>
      <c r="E37">
        <v>5.5E-2</v>
      </c>
      <c r="F37">
        <v>0</v>
      </c>
      <c r="G37">
        <f>INDEX(P_EF_Elec!$F:$F,MATCH(A37,P_EF_Elec!$A:$A,0))</f>
        <v>80.944500000000019</v>
      </c>
      <c r="H37">
        <f>C37*(63.28/0.6)+D37*(G37/0.9)+E37*(79.8/0.59)+F37*(G37/2.5)</f>
        <v>99.915364717514123</v>
      </c>
      <c r="I37">
        <f>C37/0.6+D37/0.9+E37/0.59+F37/2.5</f>
        <v>1.4109981167608285</v>
      </c>
    </row>
    <row r="38" spans="1:9">
      <c r="A38" t="s">
        <v>556</v>
      </c>
      <c r="B38" t="s">
        <v>674</v>
      </c>
      <c r="C38">
        <v>0.48199999999999998</v>
      </c>
      <c r="D38">
        <v>0.46300000000000002</v>
      </c>
      <c r="E38">
        <v>5.5E-2</v>
      </c>
      <c r="F38">
        <v>0</v>
      </c>
      <c r="G38">
        <f>INDEX(P_EF_Elec!$F:$F,MATCH(A38,P_EF_Elec!$A:$A,0))</f>
        <v>85.262418848167542</v>
      </c>
      <c r="H38">
        <f>C38*(63.28/0.6)+D38*(G38/0.9)+E38*(79.8/0.59)+F38*(G38/2.5)</f>
        <v>102.13669408051587</v>
      </c>
      <c r="I38">
        <f>C38/0.6+D38/0.9+E38/0.59+F38/2.5</f>
        <v>1.4109981167608285</v>
      </c>
    </row>
    <row r="39" spans="1:9">
      <c r="A39" t="s">
        <v>558</v>
      </c>
      <c r="B39" t="s">
        <v>674</v>
      </c>
      <c r="C39">
        <v>0.48199999999999998</v>
      </c>
      <c r="D39">
        <v>0.46300000000000002</v>
      </c>
      <c r="E39">
        <v>5.5E-2</v>
      </c>
      <c r="F39">
        <v>0</v>
      </c>
      <c r="G39">
        <f>INDEX(P_EF_Elec!$F:$F,MATCH(A39,P_EF_Elec!$A:$A,0))</f>
        <v>91.603065693430679</v>
      </c>
      <c r="H39">
        <f>C39*(63.28/0.6)+D39*(G39/0.9)+E39*(79.8/0.59)+F39*(G39/2.5)</f>
        <v>105.39860462424569</v>
      </c>
      <c r="I39">
        <f>C39/0.6+D39/0.9+E39/0.59+F39/2.5</f>
        <v>1.4109981167608285</v>
      </c>
    </row>
    <row r="40" spans="1:9">
      <c r="A40" t="s">
        <v>559</v>
      </c>
      <c r="B40" t="s">
        <v>674</v>
      </c>
      <c r="C40">
        <v>0.48199999999999998</v>
      </c>
      <c r="D40">
        <v>0.46300000000000002</v>
      </c>
      <c r="E40">
        <v>5.5E-2</v>
      </c>
      <c r="F40">
        <v>0</v>
      </c>
      <c r="G40">
        <f>INDEX(P_EF_Elec!$F:$F,MATCH(A40,P_EF_Elec!$A:$A,0))</f>
        <v>113.37883211678833</v>
      </c>
      <c r="H40">
        <f>C40*(63.28/0.6)+D40*(G40/0.9)+E40*(79.8/0.59)+F40*(G40/2.5)</f>
        <v>116.6010266842619</v>
      </c>
      <c r="I40">
        <f>C40/0.6+D40/0.9+E40/0.59+F40/2.5</f>
        <v>1.4109981167608285</v>
      </c>
    </row>
    <row r="41" spans="1:9">
      <c r="A41" t="s">
        <v>560</v>
      </c>
      <c r="B41" t="s">
        <v>674</v>
      </c>
      <c r="C41">
        <v>0.48199999999999998</v>
      </c>
      <c r="D41">
        <v>0.46300000000000002</v>
      </c>
      <c r="E41">
        <v>5.5E-2</v>
      </c>
      <c r="F41">
        <v>0</v>
      </c>
      <c r="G41">
        <f>INDEX(P_EF_Elec!$F:$F,MATCH(A41,P_EF_Elec!$A:$A,0))</f>
        <v>158.43036496350365</v>
      </c>
      <c r="H41">
        <f>C41*(63.28/0.6)+D41*(G41/0.9)+E41*(79.8/0.59)+F41*(G41/2.5)</f>
        <v>139.77753747096102</v>
      </c>
      <c r="I41">
        <f>C41/0.6+D41/0.9+E41/0.59+F41/2.5</f>
        <v>1.4109981167608285</v>
      </c>
    </row>
    <row r="42" spans="1:9">
      <c r="A42" t="s">
        <v>561</v>
      </c>
      <c r="B42" t="s">
        <v>674</v>
      </c>
      <c r="C42">
        <v>0.48199999999999998</v>
      </c>
      <c r="D42">
        <v>0.46300000000000002</v>
      </c>
      <c r="E42">
        <v>5.5E-2</v>
      </c>
      <c r="F42">
        <v>0</v>
      </c>
      <c r="G42">
        <f>INDEX(P_EF_Elec!$F:$F,MATCH(A42,P_EF_Elec!$A:$A,0))</f>
        <v>73.223837330552669</v>
      </c>
      <c r="H42">
        <f>C42*(63.28/0.6)+D42*(G42/0.9)+E42*(79.8/0.59)+F42*(G42/2.5)</f>
        <v>95.94351269978732</v>
      </c>
      <c r="I42">
        <f>C42/0.6+D42/0.9+E42/0.59+F42/2.5</f>
        <v>1.4109981167608285</v>
      </c>
    </row>
    <row r="43" spans="1:9">
      <c r="A43" t="s">
        <v>562</v>
      </c>
      <c r="B43" t="s">
        <v>674</v>
      </c>
      <c r="C43">
        <v>0.48199999999999998</v>
      </c>
      <c r="D43">
        <v>0.46300000000000002</v>
      </c>
      <c r="E43">
        <v>5.5E-2</v>
      </c>
      <c r="F43">
        <v>0</v>
      </c>
      <c r="G43">
        <f>INDEX(P_EF_Elec!$F:$F,MATCH(A43,P_EF_Elec!$A:$A,0))</f>
        <v>109.98229405630867</v>
      </c>
      <c r="H43">
        <f>C43*(63.28/0.6)+D43*(G43/0.9)+E43*(79.8/0.59)+F43*(G43/2.5)</f>
        <v>114.85369654870404</v>
      </c>
      <c r="I43">
        <f>C43/0.6+D43/0.9+E43/0.59+F43/2.5</f>
        <v>1.4109981167608285</v>
      </c>
    </row>
    <row r="44" spans="1:9">
      <c r="A44" t="s">
        <v>563</v>
      </c>
      <c r="B44" t="s">
        <v>674</v>
      </c>
      <c r="C44">
        <v>0.48199999999999998</v>
      </c>
      <c r="D44">
        <v>0.46300000000000002</v>
      </c>
      <c r="E44">
        <v>5.5E-2</v>
      </c>
      <c r="F44">
        <v>0</v>
      </c>
      <c r="G44">
        <f>INDEX(P_EF_Elec!$F:$F,MATCH(A44,P_EF_Elec!$A:$A,0))</f>
        <v>90.206527632950994</v>
      </c>
      <c r="H44">
        <f>C44*(63.28/0.6)+D44*(G44/0.9)+E44*(79.8/0.59)+F44*(G44/2.5)</f>
        <v>104.68016337757668</v>
      </c>
      <c r="I44">
        <f>C44/0.6+D44/0.9+E44/0.59+F44/2.5</f>
        <v>1.4109981167608285</v>
      </c>
    </row>
    <row r="45" spans="1:9">
      <c r="A45" t="s">
        <v>564</v>
      </c>
      <c r="B45" t="s">
        <v>674</v>
      </c>
      <c r="C45">
        <v>0.48199999999999998</v>
      </c>
      <c r="D45">
        <v>0.46300000000000002</v>
      </c>
      <c r="E45">
        <v>5.5E-2</v>
      </c>
      <c r="F45">
        <v>0</v>
      </c>
      <c r="G45">
        <f>INDEX(P_EF_Elec!$F:$F,MATCH(A45,P_EF_Elec!$A:$A,0))</f>
        <v>53.584387434554976</v>
      </c>
      <c r="H45">
        <f>C45*(63.28/0.6)+D45*(G45/0.9)+E45*(79.8/0.59)+F45*(G45/2.5)</f>
        <v>85.840106808846301</v>
      </c>
      <c r="I45">
        <f>C45/0.6+D45/0.9+E45/0.59+F45/2.5</f>
        <v>1.4109981167608285</v>
      </c>
    </row>
    <row r="46" spans="1:9">
      <c r="A46" t="s">
        <v>565</v>
      </c>
      <c r="B46" t="s">
        <v>674</v>
      </c>
      <c r="C46">
        <v>0.48199999999999998</v>
      </c>
      <c r="D46">
        <v>0.46300000000000002</v>
      </c>
      <c r="E46">
        <v>5.5E-2</v>
      </c>
      <c r="F46">
        <v>0</v>
      </c>
      <c r="G46">
        <f>INDEX(P_EF_Elec!$F:$F,MATCH(A46,P_EF_Elec!$A:$A,0))</f>
        <v>63.976895833333344</v>
      </c>
      <c r="H46">
        <f>C46*(63.28/0.6)+D46*(G46/0.9)+E46*(79.8/0.59)+F46*(G46/2.5)</f>
        <v>91.186475018440049</v>
      </c>
      <c r="I46">
        <f>C46/0.6+D46/0.9+E46/0.59+F46/2.5</f>
        <v>1.4109981167608285</v>
      </c>
    </row>
    <row r="47" spans="1:9">
      <c r="A47" t="s">
        <v>566</v>
      </c>
      <c r="B47" t="s">
        <v>674</v>
      </c>
      <c r="C47">
        <v>0.48199999999999998</v>
      </c>
      <c r="D47">
        <v>0.46300000000000002</v>
      </c>
      <c r="E47">
        <v>5.5E-2</v>
      </c>
      <c r="F47">
        <v>0</v>
      </c>
      <c r="G47">
        <f>INDEX(P_EF_Elec!$F:$F,MATCH(A47,P_EF_Elec!$A:$A,0))</f>
        <v>114.37883211678833</v>
      </c>
      <c r="H47">
        <f>C47*(63.28/0.6)+D47*(G47/0.9)+E47*(79.8/0.59)+F47*(G47/2.5)</f>
        <v>117.11547112870635</v>
      </c>
      <c r="I47">
        <f>C47/0.6+D47/0.9+E47/0.59+F47/2.5</f>
        <v>1.4109981167608285</v>
      </c>
    </row>
    <row r="48" spans="1:9">
      <c r="A48" t="s">
        <v>567</v>
      </c>
      <c r="B48" t="s">
        <v>674</v>
      </c>
      <c r="C48">
        <v>0.48199999999999998</v>
      </c>
      <c r="D48">
        <v>0.46300000000000002</v>
      </c>
      <c r="E48">
        <v>5.5E-2</v>
      </c>
      <c r="F48">
        <v>0</v>
      </c>
      <c r="G48">
        <f>INDEX(P_EF_Elec!$F:$F,MATCH(A48,P_EF_Elec!$A:$A,0))</f>
        <v>83.36172054223151</v>
      </c>
      <c r="H48">
        <f>C48*(63.28/0.6)+D48*(G48/0.9)+E48*(79.8/0.59)+F48*(G48/2.5)</f>
        <v>101.15889039646211</v>
      </c>
      <c r="I48">
        <f>C48/0.6+D48/0.9+E48/0.59+F48/2.5</f>
        <v>1.4109981167608285</v>
      </c>
    </row>
    <row r="49" spans="1:9">
      <c r="A49" t="s">
        <v>568</v>
      </c>
      <c r="B49" t="s">
        <v>674</v>
      </c>
      <c r="C49">
        <v>0.48199999999999998</v>
      </c>
      <c r="D49">
        <v>0.46300000000000002</v>
      </c>
      <c r="E49">
        <v>5.5E-2</v>
      </c>
      <c r="F49">
        <v>0</v>
      </c>
      <c r="G49">
        <f>INDEX(P_EF_Elec!$F:$F,MATCH(A49,P_EF_Elec!$A:$A,0))</f>
        <v>163.67171011470285</v>
      </c>
      <c r="H49">
        <f>C49*(63.28/0.6)+D49*(G49/0.9)+E49*(79.8/0.59)+F49*(G49/2.5)</f>
        <v>142.47391836541127</v>
      </c>
      <c r="I49">
        <f>C49/0.6+D49/0.9+E49/0.59+F49/2.5</f>
        <v>1.4109981167608285</v>
      </c>
    </row>
    <row r="50" spans="1:9">
      <c r="A50" t="s">
        <v>569</v>
      </c>
      <c r="B50" t="s">
        <v>674</v>
      </c>
      <c r="C50">
        <v>0.48199999999999998</v>
      </c>
      <c r="D50">
        <v>0.46300000000000002</v>
      </c>
      <c r="E50">
        <v>5.5E-2</v>
      </c>
      <c r="F50">
        <v>0</v>
      </c>
      <c r="G50">
        <f>INDEX(P_EF_Elec!$F:$F,MATCH(A50,P_EF_Elec!$A:$A,0))</f>
        <v>130.10365726227798</v>
      </c>
      <c r="H50">
        <f>C50*(63.28/0.6)+D50*(G50/0.9)+E50*(79.8/0.59)+F50*(G50/2.5)</f>
        <v>125.2050200646638</v>
      </c>
      <c r="I50">
        <f>C50/0.6+D50/0.9+E50/0.59+F50/2.5</f>
        <v>1.4109981167608285</v>
      </c>
    </row>
    <row r="51" spans="1:9">
      <c r="A51" t="s">
        <v>570</v>
      </c>
      <c r="B51" t="s">
        <v>674</v>
      </c>
      <c r="C51">
        <v>0.48199999999999998</v>
      </c>
      <c r="D51">
        <v>0.46300000000000002</v>
      </c>
      <c r="E51">
        <v>5.5E-2</v>
      </c>
      <c r="F51">
        <v>0</v>
      </c>
      <c r="G51">
        <f>INDEX(P_EF_Elec!$F:$F,MATCH(A51,P_EF_Elec!$A:$A,0))</f>
        <v>99.34441084462982</v>
      </c>
      <c r="H51">
        <f>C51*(63.28/0.6)+D51*(G51/0.9)+E51*(79.8/0.59)+F51*(G51/2.5)</f>
        <v>109.38109662980702</v>
      </c>
      <c r="I51">
        <f>C51/0.6+D51/0.9+E51/0.59+F51/2.5</f>
        <v>1.4109981167608285</v>
      </c>
    </row>
    <row r="52" spans="1:9">
      <c r="A52" t="s">
        <v>571</v>
      </c>
      <c r="B52" t="s">
        <v>674</v>
      </c>
      <c r="C52">
        <v>0.48199999999999998</v>
      </c>
      <c r="D52">
        <v>0.46300000000000002</v>
      </c>
      <c r="E52">
        <v>5.5E-2</v>
      </c>
      <c r="F52">
        <v>0</v>
      </c>
      <c r="G52">
        <f>INDEX(P_EF_Elec!$F:$F,MATCH(A52,P_EF_Elec!$A:$A,0))</f>
        <v>33.965380604796664</v>
      </c>
      <c r="H52">
        <f>C52*(63.28/0.6)+D52*(G52/0.9)+E52*(79.8/0.59)+F52*(G52/2.5)</f>
        <v>75.74721773975952</v>
      </c>
      <c r="I52">
        <f>C52/0.6+D52/0.9+E52/0.59+F52/2.5</f>
        <v>1.4109981167608285</v>
      </c>
    </row>
    <row r="53" spans="1:9">
      <c r="A53" t="s">
        <v>572</v>
      </c>
      <c r="B53" t="s">
        <v>674</v>
      </c>
      <c r="C53">
        <v>0.48199999999999998</v>
      </c>
      <c r="D53">
        <v>0.46300000000000002</v>
      </c>
      <c r="E53">
        <v>5.5E-2</v>
      </c>
      <c r="F53">
        <v>0</v>
      </c>
      <c r="G53">
        <f>INDEX(P_EF_Elec!$F:$F,MATCH(A53,P_EF_Elec!$A:$A,0))</f>
        <v>82.838020833333346</v>
      </c>
      <c r="H53">
        <f>C53*(63.28/0.6)+D53*(G53/0.9)+E53*(79.8/0.59)+F53*(G53/2.5)</f>
        <v>100.88947599066228</v>
      </c>
      <c r="I53">
        <f>C53/0.6+D53/0.9+E53/0.59+F53/2.5</f>
        <v>1.4109981167608285</v>
      </c>
    </row>
    <row r="54" spans="1:9">
      <c r="A54" t="s">
        <v>573</v>
      </c>
      <c r="B54" t="s">
        <v>674</v>
      </c>
      <c r="C54">
        <v>0.48199999999999998</v>
      </c>
      <c r="D54">
        <v>0.46300000000000002</v>
      </c>
      <c r="E54">
        <v>5.5E-2</v>
      </c>
      <c r="F54">
        <v>0</v>
      </c>
      <c r="G54">
        <f>INDEX(P_EF_Elec!$F:$F,MATCH(A54,P_EF_Elec!$A:$A,0))</f>
        <v>80.399413612565453</v>
      </c>
      <c r="H54">
        <f>C54*(63.28/0.6)+D54*(G54/0.9)+E54*(79.8/0.59)+F54*(G54/2.5)</f>
        <v>99.634948053756133</v>
      </c>
      <c r="I54">
        <f>C54/0.6+D54/0.9+E54/0.59+F54/2.5</f>
        <v>1.4109981167608285</v>
      </c>
    </row>
    <row r="55" spans="1:9">
      <c r="A55" t="s">
        <v>574</v>
      </c>
      <c r="B55" t="s">
        <v>674</v>
      </c>
      <c r="C55">
        <v>0.48199999999999998</v>
      </c>
      <c r="D55">
        <v>0.46300000000000002</v>
      </c>
      <c r="E55">
        <v>5.5E-2</v>
      </c>
      <c r="F55">
        <v>0</v>
      </c>
      <c r="G55">
        <f>INDEX(P_EF_Elec!$F:$F,MATCH(A55,P_EF_Elec!$A:$A,0))</f>
        <v>69.775568300312841</v>
      </c>
      <c r="H55">
        <f>C55*(63.28/0.6)+D55*(G55/0.9)+E55*(79.8/0.59)+F55*(G55/2.5)</f>
        <v>94.169569854230616</v>
      </c>
      <c r="I55">
        <f>C55/0.6+D55/0.9+E55/0.59+F55/2.5</f>
        <v>1.4109981167608285</v>
      </c>
    </row>
    <row r="56" spans="1:9">
      <c r="A56" t="s">
        <v>575</v>
      </c>
      <c r="B56" t="s">
        <v>674</v>
      </c>
      <c r="C56">
        <v>0.48199999999999998</v>
      </c>
      <c r="D56">
        <v>0.46300000000000002</v>
      </c>
      <c r="E56">
        <v>5.5E-2</v>
      </c>
      <c r="F56">
        <v>0</v>
      </c>
      <c r="G56">
        <f>INDEX(P_EF_Elec!$F:$F,MATCH(A56,P_EF_Elec!$A:$A,0))</f>
        <v>43.654994786235669</v>
      </c>
      <c r="H56">
        <f>C56*(63.28/0.6)+D56*(G56/0.9)+E56*(79.8/0.59)+F56*(G56/2.5)</f>
        <v>80.731985924210917</v>
      </c>
      <c r="I56">
        <f>C56/0.6+D56/0.9+E56/0.59+F56/2.5</f>
        <v>1.4109981167608285</v>
      </c>
    </row>
    <row r="57" spans="1:9">
      <c r="A57" t="s">
        <v>576</v>
      </c>
      <c r="B57" t="s">
        <v>674</v>
      </c>
      <c r="C57">
        <v>0.48199999999999998</v>
      </c>
      <c r="D57">
        <v>0.46300000000000002</v>
      </c>
      <c r="E57">
        <v>5.5E-2</v>
      </c>
      <c r="F57">
        <v>0</v>
      </c>
      <c r="G57">
        <f>INDEX(P_EF_Elec!$F:$F,MATCH(A57,P_EF_Elec!$A:$A,0))</f>
        <v>94.947872784150164</v>
      </c>
      <c r="H57">
        <f>C57*(63.28/0.6)+D57*(G57/0.9)+E57*(79.8/0.59)+F57*(G57/2.5)</f>
        <v>107.11932204980469</v>
      </c>
      <c r="I57">
        <f>C57/0.6+D57/0.9+E57/0.59+F57/2.5</f>
        <v>1.4109981167608285</v>
      </c>
    </row>
    <row r="58" spans="1:9">
      <c r="A58" t="s">
        <v>577</v>
      </c>
      <c r="B58" t="s">
        <v>674</v>
      </c>
      <c r="C58">
        <v>0.48199999999999998</v>
      </c>
      <c r="D58">
        <v>0.46300000000000002</v>
      </c>
      <c r="E58">
        <v>5.5E-2</v>
      </c>
      <c r="F58">
        <v>0</v>
      </c>
      <c r="G58">
        <f>INDEX(P_EF_Elec!$F:$F,MATCH(A58,P_EF_Elec!$A:$A,0))</f>
        <v>109.74437122002087</v>
      </c>
      <c r="H58">
        <f>C58*(63.28/0.6)+D58*(G58/0.9)+E58*(79.8/0.59)+F58*(G58/2.5)</f>
        <v>114.7312984673693</v>
      </c>
      <c r="I58">
        <f>C58/0.6+D58/0.9+E58/0.59+F58/2.5</f>
        <v>1.4109981167608285</v>
      </c>
    </row>
    <row r="59" spans="1:9">
      <c r="A59" t="s">
        <v>578</v>
      </c>
      <c r="B59" t="s">
        <v>674</v>
      </c>
      <c r="C59">
        <v>0.48199999999999998</v>
      </c>
      <c r="D59">
        <v>0.46300000000000002</v>
      </c>
      <c r="E59">
        <v>5.5E-2</v>
      </c>
      <c r="F59">
        <v>0</v>
      </c>
      <c r="G59">
        <f>INDEX(P_EF_Elec!$F:$F,MATCH(A59,P_EF_Elec!$A:$A,0))</f>
        <v>139.05113660062568</v>
      </c>
      <c r="H59">
        <f>C59*(63.28/0.6)+D59*(G59/0.9)+E59*(79.8/0.59)+F59*(G59/2.5)</f>
        <v>129.80800110205823</v>
      </c>
      <c r="I59">
        <f>C59/0.6+D59/0.9+E59/0.59+F59/2.5</f>
        <v>1.4109981167608285</v>
      </c>
    </row>
    <row r="60" spans="1:9">
      <c r="A60" t="s">
        <v>579</v>
      </c>
      <c r="B60" t="s">
        <v>674</v>
      </c>
      <c r="C60">
        <v>0.48199999999999998</v>
      </c>
      <c r="D60">
        <v>0.46300000000000002</v>
      </c>
      <c r="E60">
        <v>5.5E-2</v>
      </c>
      <c r="F60">
        <v>0</v>
      </c>
      <c r="G60">
        <f>INDEX(P_EF_Elec!$F:$F,MATCH(A60,P_EF_Elec!$A:$A,0))</f>
        <v>6.6538722513089015</v>
      </c>
      <c r="H60">
        <f>C60*(63.28/0.6)+D60*(G60/0.9)+E60*(79.8/0.59)+F60*(G60/2.5)</f>
        <v>61.696963997909698</v>
      </c>
      <c r="I60">
        <f>C60/0.6+D60/0.9+E60/0.59+F60/2.5</f>
        <v>1.4109981167608285</v>
      </c>
    </row>
    <row r="61" spans="1:9">
      <c r="A61" t="s">
        <v>580</v>
      </c>
      <c r="B61" t="s">
        <v>674</v>
      </c>
      <c r="C61">
        <v>0.48199999999999998</v>
      </c>
      <c r="D61">
        <v>0.46300000000000002</v>
      </c>
      <c r="E61">
        <v>5.5E-2</v>
      </c>
      <c r="F61">
        <v>0</v>
      </c>
      <c r="G61">
        <f>INDEX(P_EF_Elec!$F:$F,MATCH(A61,P_EF_Elec!$A:$A,0))</f>
        <v>70.775568300312841</v>
      </c>
      <c r="H61">
        <f>C61*(63.28/0.6)+D61*(G61/0.9)+E61*(79.8/0.59)+F61*(G61/2.5)</f>
        <v>94.684014298675052</v>
      </c>
      <c r="I61">
        <f>C61/0.6+D61/0.9+E61/0.59+F61/2.5</f>
        <v>1.4109981167608285</v>
      </c>
    </row>
    <row r="62" spans="1:9">
      <c r="A62" t="s">
        <v>582</v>
      </c>
      <c r="B62" t="s">
        <v>674</v>
      </c>
      <c r="C62">
        <v>0.48199999999999998</v>
      </c>
      <c r="D62">
        <v>0.46300000000000002</v>
      </c>
      <c r="E62">
        <v>5.5E-2</v>
      </c>
      <c r="F62">
        <v>0</v>
      </c>
      <c r="G62">
        <f>INDEX(P_EF_Elec!$F:$F,MATCH(A62,P_EF_Elec!$A:$A,0))</f>
        <v>186.75289446186</v>
      </c>
      <c r="H62">
        <f>C62*(63.28/0.6)+D62*(G62/0.9)+E62*(79.8/0.59)+F62*(G62/2.5)</f>
        <v>154.34790542400432</v>
      </c>
      <c r="I62">
        <f>C62/0.6+D62/0.9+E62/0.59+F62/2.5</f>
        <v>1.4109981167608285</v>
      </c>
    </row>
    <row r="63" spans="1:9">
      <c r="A63" t="s">
        <v>583</v>
      </c>
      <c r="B63" t="s">
        <v>674</v>
      </c>
      <c r="C63">
        <v>0.48199999999999998</v>
      </c>
      <c r="D63">
        <v>0.46300000000000002</v>
      </c>
      <c r="E63">
        <v>5.5E-2</v>
      </c>
      <c r="F63">
        <v>0</v>
      </c>
      <c r="G63">
        <f>INDEX(P_EF_Elec!$F:$F,MATCH(A63,P_EF_Elec!$A:$A,0))</f>
        <v>120.67190823774766</v>
      </c>
      <c r="H63">
        <f>C63*(63.28/0.6)+D63*(G63/0.9)+E63*(79.8/0.59)+F63*(G63/2.5)</f>
        <v>120.35290917759987</v>
      </c>
      <c r="I63">
        <f>C63/0.6+D63/0.9+E63/0.59+F63/2.5</f>
        <v>1.4109981167608285</v>
      </c>
    </row>
    <row r="64" spans="1:9">
      <c r="A64" t="s">
        <v>584</v>
      </c>
      <c r="B64" t="s">
        <v>674</v>
      </c>
      <c r="C64">
        <v>0.48199999999999998</v>
      </c>
      <c r="D64">
        <v>0.46300000000000002</v>
      </c>
      <c r="E64">
        <v>5.5E-2</v>
      </c>
      <c r="F64">
        <v>0</v>
      </c>
      <c r="G64">
        <f>INDEX(P_EF_Elec!$F:$F,MATCH(A64,P_EF_Elec!$A:$A,0))</f>
        <v>185.89574556830033</v>
      </c>
      <c r="H64">
        <f>C64*(63.28/0.6)+D64*(G64/0.9)+E64*(79.8/0.59)+F64*(G64/2.5)</f>
        <v>153.90694993765086</v>
      </c>
      <c r="I64">
        <f>C64/0.6+D64/0.9+E64/0.59+F64/2.5</f>
        <v>1.4109981167608285</v>
      </c>
    </row>
    <row r="65" spans="1:9">
      <c r="A65" t="s">
        <v>585</v>
      </c>
      <c r="B65" t="s">
        <v>674</v>
      </c>
      <c r="C65">
        <v>0.48199999999999998</v>
      </c>
      <c r="D65">
        <v>0.46300000000000002</v>
      </c>
      <c r="E65">
        <v>5.5E-2</v>
      </c>
      <c r="F65">
        <v>0</v>
      </c>
      <c r="G65">
        <f>INDEX(P_EF_Elec!$F:$F,MATCH(A65,P_EF_Elec!$A:$A,0))</f>
        <v>92.703766666666667</v>
      </c>
      <c r="H65">
        <f>C65*(63.28/0.6)+D65*(G65/0.9)+E65*(79.8/0.59)+F65*(G65/2.5)</f>
        <v>105.96485412492153</v>
      </c>
      <c r="I65">
        <f>C65/0.6+D65/0.9+E65/0.59+F65/2.5</f>
        <v>1.4109981167608285</v>
      </c>
    </row>
    <row r="66" spans="1:9">
      <c r="A66" t="s">
        <v>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2026-06-27T11:20:34Z</dcterms:created>
  <dcterms:modified xsi:type="dcterms:W3CDTF">2026-07-08T19:01:06Z</dcterms:modified>
  <cp:category/>
  <cp:contentStatus/>
</cp:coreProperties>
</file>