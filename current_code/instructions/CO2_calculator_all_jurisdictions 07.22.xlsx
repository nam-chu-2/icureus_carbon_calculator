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P_Heating" sheetId="2" state="visible" r:id="rId2"/>
    <sheet xmlns:r="http://schemas.openxmlformats.org/officeDocument/2006/relationships" name="P_Cooling" sheetId="3" state="visible" r:id="rId3"/>
    <sheet xmlns:r="http://schemas.openxmlformats.org/officeDocument/2006/relationships" name="P_BuildingType" sheetId="4" state="visible" r:id="rId4"/>
    <sheet xmlns:r="http://schemas.openxmlformats.org/officeDocument/2006/relationships" name="P_Systems" sheetId="5" state="visible" r:id="rId5"/>
    <sheet xmlns:r="http://schemas.openxmlformats.org/officeDocument/2006/relationships" name="P_WaterHeat" sheetId="6" state="visible" r:id="rId6"/>
    <sheet xmlns:r="http://schemas.openxmlformats.org/officeDocument/2006/relationships" name="P_U_water" sheetId="7" state="visible" r:id="rId7"/>
    <sheet xmlns:r="http://schemas.openxmlformats.org/officeDocument/2006/relationships" name="P_OtherElec" sheetId="8" state="visible" r:id="rId8"/>
    <sheet xmlns:r="http://schemas.openxmlformats.org/officeDocument/2006/relationships" name="P_Size" sheetId="9" state="visible" r:id="rId9"/>
    <sheet xmlns:r="http://schemas.openxmlformats.org/officeDocument/2006/relationships" name="P_EF_Fuel" sheetId="10" state="visible" r:id="rId10"/>
    <sheet xmlns:r="http://schemas.openxmlformats.org/officeDocument/2006/relationships" name="P_EF_Elec" sheetId="11" state="visible" r:id="rId11"/>
    <sheet xmlns:r="http://schemas.openxmlformats.org/officeDocument/2006/relationships" name="P_Vehicle" sheetId="12" state="visible" r:id="rId12"/>
    <sheet xmlns:r="http://schemas.openxmlformats.org/officeDocument/2006/relationships" name="P_GasEff" sheetId="13" state="visible" r:id="rId13"/>
    <sheet xmlns:r="http://schemas.openxmlformats.org/officeDocument/2006/relationships" name="P_HPcop" sheetId="14" state="visible" r:id="rId14"/>
    <sheet xmlns:r="http://schemas.openxmlformats.org/officeDocument/2006/relationships" name="P_DKHeat" sheetId="15" state="visible" r:id="rId15"/>
    <sheet xmlns:r="http://schemas.openxmlformats.org/officeDocument/2006/relationships" name="P_DKWater" sheetId="16" state="visible" r:id="rId16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3">
    <font>
      <name val="Calibri"/>
      <family val="2"/>
      <color theme="1"/>
      <sz val="11"/>
      <scheme val="minor"/>
    </font>
    <font>
      <name val="Arial"/>
      <charset val="1"/>
      <b val="1"/>
      <color rgb="FF1F4E66"/>
      <sz val="14"/>
    </font>
    <font>
      <name val="Arial"/>
      <charset val="1"/>
      <i val="1"/>
      <color rgb="FF555555"/>
      <sz val="9"/>
    </font>
    <font>
      <name val="Arial"/>
      <charset val="1"/>
      <b val="1"/>
      <color rgb="FF1F4E66"/>
      <sz val="11"/>
    </font>
    <font>
      <name val="Arial"/>
      <charset val="1"/>
      <b val="1"/>
      <sz val="11"/>
    </font>
    <font>
      <name val="Arial"/>
      <charset val="1"/>
      <b val="1"/>
      <color rgb="FF0000FF"/>
      <sz val="11"/>
    </font>
    <font>
      <name val="Arial"/>
      <charset val="1"/>
      <color rgb="FF000000"/>
      <sz val="11"/>
    </font>
    <font>
      <name val="Arial"/>
      <charset val="1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i val="1"/>
      <sz val="9"/>
    </font>
    <font>
      <name val="Calibri"/>
      <i val="1"/>
      <sz val="8"/>
    </font>
  </fonts>
  <fills count="12">
    <fill>
      <patternFill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1F4E66"/>
        <bgColor rgb="FF33339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AEEF3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1" fontId="6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2" fontId="6" fillId="0" borderId="0" pivotButton="0" quotePrefix="0" xfId="0"/>
    <xf numFmtId="0" fontId="7" fillId="3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0" fontId="4" fillId="0" borderId="1" pivotButton="0" quotePrefix="0" xfId="0"/>
    <xf numFmtId="2" fontId="6" fillId="0" borderId="1" pivotButton="0" quotePrefix="0" xfId="0"/>
    <xf numFmtId="0" fontId="4" fillId="5" borderId="1" pivotButton="0" quotePrefix="0" xfId="0"/>
    <xf numFmtId="164" fontId="6" fillId="5" borderId="1" pivotButton="0" quotePrefix="0" xfId="0"/>
    <xf numFmtId="0" fontId="8" fillId="0" borderId="0" pivotButton="0" quotePrefix="0" xfId="0"/>
    <xf numFmtId="0" fontId="10" fillId="7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left" vertical="center"/>
    </xf>
    <xf numFmtId="165" fontId="0" fillId="9" borderId="2" applyAlignment="1" pivotButton="0" quotePrefix="0" xfId="0">
      <alignment horizontal="center" vertical="center"/>
    </xf>
    <xf numFmtId="165" fontId="0" fillId="10" borderId="2" applyAlignment="1" pivotButton="0" quotePrefix="0" xfId="0">
      <alignment horizontal="center" vertical="center"/>
    </xf>
    <xf numFmtId="165" fontId="0" fillId="11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0" borderId="0" pivotButton="0" quotePrefix="0" xfId="0"/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6" borderId="2" applyAlignment="1" pivotButton="0" quotePrefix="0" xfId="0">
      <alignment horizontal="center" vertical="center"/>
    </xf>
    <xf numFmtId="0" fontId="11" fillId="0" borderId="2" pivotButton="0" quotePrefix="0" xfId="0"/>
    <xf numFmtId="0" fontId="10" fillId="6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tabSelected="1" workbookViewId="0">
      <selection activeCell="B5" sqref="B5"/>
    </sheetView>
  </sheetViews>
  <sheetFormatPr baseColWidth="8" defaultRowHeight="15"/>
  <cols>
    <col width="44.140625" customWidth="1" style="28" min="1" max="1"/>
    <col width="20" customWidth="1" style="28" min="2" max="2"/>
    <col width="2.85546875" customWidth="1" style="28" min="3" max="3"/>
    <col width="50.5703125" customWidth="1" style="28" min="4" max="4"/>
    <col width="13" customWidth="1" style="28" min="5" max="5"/>
    <col width="23.28515625" customWidth="1" style="28" min="7" max="7"/>
    <col width="33.5703125" customWidth="1" style="28" min="8" max="8"/>
    <col width="27.140625" customWidth="1" style="28" min="9" max="9"/>
  </cols>
  <sheetData>
    <row r="1">
      <c r="A1" s="1" t="inlineStr">
        <is>
          <t>Residential CO2 Footprint Calculator</t>
        </is>
      </c>
    </row>
    <row r="2">
      <c r="A2" s="2" t="inlineStr">
        <is>
          <t>Enter the blue cells (dropdowns). Lifecycle basis: combustion + upstream (well-to-tank). Results update in Excel / LibreOffice. Expanded from original (QC/ON/AB/BC + CO/MI/NY/WA) to ALL 13 Canadian provinces/territories and ALL 51 US states + DC. See cell D5 for valid jurisdiction codes.</t>
        </is>
      </c>
    </row>
    <row r="4">
      <c r="A4" s="3" t="inlineStr">
        <is>
          <t>INPUTS</t>
        </is>
      </c>
    </row>
    <row r="5">
      <c r="A5" s="4" t="inlineStr">
        <is>
          <t>Jurisdiction (province/state)</t>
        </is>
      </c>
      <c r="B5" s="5" t="inlineStr">
        <is>
          <t>NY</t>
        </is>
      </c>
      <c r="D5" s="2" t="inlineStr">
        <is>
          <t>AB AK AL AR AZ BC CA CO CT DC DE FL GA HI IA ID IL IN KS KY LA MA MB MD ME MI MN MO MS MT NB NC ND NE NH NJ NL NM NS NT NU NV NY OH OK ON OR PA PE QC RI SC SD SK TN TX UT VA VT WA WI WV WY YT PR VI  (type any valid code in B5)</t>
        </is>
      </c>
    </row>
    <row r="6">
      <c r="A6" s="4" t="inlineStr">
        <is>
          <t>Dwelling vintage</t>
        </is>
      </c>
      <c r="B6" s="5" t="inlineStr">
        <is>
          <t>1960-1983</t>
        </is>
      </c>
      <c r="D6" s="2" t="inlineStr">
        <is>
          <t>pre-1960 / 1960-1983 / 1984-1999 / 2000+</t>
        </is>
      </c>
    </row>
    <row r="7">
      <c r="A7" s="4" t="inlineStr">
        <is>
          <t>Dwelling type</t>
        </is>
      </c>
      <c r="B7" s="5" t="inlineStr">
        <is>
          <t>attached</t>
        </is>
      </c>
      <c r="D7" s="2" t="inlineStr">
        <is>
          <t>detached / attached / apartment</t>
        </is>
      </c>
    </row>
    <row r="8">
      <c r="A8" s="4" t="inlineStr">
        <is>
          <t>Floor area (heated)</t>
        </is>
      </c>
      <c r="B8" s="5" t="n">
        <v>1600</v>
      </c>
      <c r="D8" s="2" t="inlineStr">
        <is>
          <t>number</t>
        </is>
      </c>
    </row>
    <row r="9">
      <c r="A9" s="4" t="inlineStr">
        <is>
          <t>Area units</t>
        </is>
      </c>
      <c r="B9" s="5" t="inlineStr">
        <is>
          <t>ft2</t>
        </is>
      </c>
      <c r="D9" s="2" t="inlineStr">
        <is>
          <t>m2 or ft2</t>
        </is>
      </c>
    </row>
    <row r="10">
      <c r="A10" s="4" t="inlineStr">
        <is>
          <t>Space heating system</t>
        </is>
      </c>
      <c r="B10" s="5" t="inlineStr">
        <is>
          <t>Electric heat pump</t>
        </is>
      </c>
      <c r="D10" s="2" t="inlineStr">
        <is>
          <t>...or Don't know (country-average mix)</t>
        </is>
      </c>
    </row>
    <row r="11">
      <c r="A11" s="4" t="inlineStr">
        <is>
          <t>Water heating system</t>
        </is>
      </c>
      <c r="B11" s="5" t="inlineStr">
        <is>
          <t>Electric</t>
        </is>
      </c>
      <c r="D11" s="2" t="inlineStr">
        <is>
          <t>...or Don't know (country-average mix)</t>
        </is>
      </c>
    </row>
    <row r="12">
      <c r="A12" s="4" t="inlineStr">
        <is>
          <t>Air conditioning?</t>
        </is>
      </c>
      <c r="B12" s="5" t="inlineStr">
        <is>
          <t>Yes</t>
        </is>
      </c>
      <c r="D12" s="2" t="inlineStr">
        <is>
          <t>Yes / No</t>
        </is>
      </c>
    </row>
    <row r="13">
      <c r="A13" s="4" t="inlineStr">
        <is>
          <t>Household size (people)</t>
        </is>
      </c>
      <c r="B13" s="5" t="n">
        <v>3</v>
      </c>
      <c r="D13" s="2" t="inlineStr">
        <is>
          <t>1 / 2 / 3 / 4 / 5 / 6+</t>
        </is>
      </c>
    </row>
    <row r="14">
      <c r="A14" s="4" t="inlineStr">
        <is>
          <t>Windows/insulation significantly upgraded?</t>
        </is>
      </c>
      <c r="B14" s="5" t="inlineStr">
        <is>
          <t>No</t>
        </is>
      </c>
      <c r="D14" s="2" t="inlineStr">
        <is>
          <t>Yes / No / Unsure (Yes = -15% heating &amp; cooling demand)</t>
        </is>
      </c>
    </row>
    <row r="15">
      <c r="A15" s="3" t="inlineStr">
        <is>
          <t>Heat-pump backup heat source</t>
        </is>
      </c>
      <c r="B15" t="inlineStr">
        <is>
          <t>Electric</t>
        </is>
      </c>
      <c r="D15" t="inlineStr">
        <is>
          <t>Electric / Natural gas / Oil or propane / None / Don't know  (only used if space heating = Electric heat pump)</t>
        </is>
      </c>
    </row>
    <row r="16">
      <c r="A16" s="4" t="inlineStr">
        <is>
          <t>INTERMEDIATE</t>
        </is>
      </c>
      <c r="B16" s="6" t="n"/>
    </row>
    <row r="17">
      <c r="A17" s="4" t="inlineStr">
        <is>
          <t>Floor area (m2)</t>
        </is>
      </c>
      <c r="B17" s="7">
        <f>IF($B$9="ft2",$B$8*0.092903,$B$8)</f>
        <v/>
      </c>
    </row>
    <row r="18">
      <c r="A18" s="4" t="inlineStr">
        <is>
          <t>Vintage key</t>
        </is>
      </c>
      <c r="B18" s="7">
        <f>$B$5&amp;"|"&amp;$B$6</f>
        <v/>
      </c>
    </row>
    <row r="19">
      <c r="A19" s="4" t="inlineStr">
        <is>
          <t>Dwelling key</t>
        </is>
      </c>
      <c r="B19" s="8">
        <f>$B$5&amp;"|"&amp;$B$7</f>
        <v/>
      </c>
    </row>
    <row r="20">
      <c r="A20" s="4" t="inlineStr">
        <is>
          <t>Grid factor (kg CO2e/GJ, delivered, lifecycle)</t>
        </is>
      </c>
      <c r="B20" s="9">
        <f>INDEX(P_EF_Elec!$F:$F,MATCH($B$5,P_EF_Elec!$A:$A,0))</f>
        <v/>
      </c>
    </row>
    <row r="21">
      <c r="A21" s="4" t="inlineStr">
        <is>
          <t>Envelope factor (type)</t>
        </is>
      </c>
      <c r="B21" s="9">
        <f>INDEX(P_BuildingType!$B:$B,MATCH($B$7,P_BuildingType!$A:$A,0))</f>
        <v/>
      </c>
    </row>
    <row r="22">
      <c r="A22" s="4" t="inlineStr">
        <is>
          <t>Other-elec size factor</t>
        </is>
      </c>
      <c r="B22" s="9">
        <f>INDEX(P_Size!$B:$B,MATCH($B$13&amp;"",P_Size!$A:$A,0))</f>
        <v/>
      </c>
    </row>
    <row r="23">
      <c r="A23" s="3" t="inlineStr">
        <is>
          <t>Retrofit factor (windows/insulation)</t>
        </is>
      </c>
      <c r="B23">
        <f>IF($B$14="Yes",0.85,1)</f>
        <v/>
      </c>
    </row>
    <row r="24">
      <c r="A24" s="10" t="inlineStr">
        <is>
          <t>RESULTS (kg CO2e / year, lifecycle)</t>
        </is>
      </c>
      <c r="B24" s="10" t="n"/>
      <c r="C24" s="10" t="n"/>
      <c r="D24" s="10" t="n"/>
      <c r="K24" t="inlineStr">
        <is>
          <t>HEAT-PUMP BACKUP DETAIL (used only when space heating = Electric heat pump)</t>
        </is>
      </c>
    </row>
    <row r="25">
      <c r="A25" s="11" t="inlineStr">
        <is>
          <t>End use</t>
        </is>
      </c>
      <c r="B25" s="12" t="inlineStr">
        <is>
          <t>kg CO2e/yr</t>
        </is>
      </c>
      <c r="D25" s="2" t="inlineStr">
        <is>
          <t>Energy (GJ/yr) and fuel</t>
        </is>
      </c>
      <c r="K25" t="inlineStr">
        <is>
          <t>Backup source</t>
        </is>
      </c>
      <c r="L25">
        <f>$B$15</f>
        <v/>
      </c>
    </row>
    <row r="26">
      <c r="A26" s="11" t="inlineStr">
        <is>
          <t>Space heating</t>
        </is>
      </c>
      <c r="B26" s="12">
        <f>IF($B$10="Don't know",$I$26*INDEX(P_DKHeat!$K:$K,MATCH($B$5,P_DKHeat!$A:$A,0)),IF($B$10="Electric heat pump",$L$32,$G$26*$H$26))</f>
        <v/>
      </c>
      <c r="D26" s="2">
        <f>IF($B$10="Electric heat pump",TEXT($L$30,"0.0")&amp;" GJ elec (HP)"&amp;IF($L$31&gt;0," + "&amp;TEXT($L$31,"0.0")&amp;" GJ "&amp;$B$15,""),TEXT($G$26,"0.0")&amp;" GJ "&amp;$F$26)</f>
        <v/>
      </c>
      <c r="E26">
        <f>IF($B$10="Don't know","mixed",IF($B$10="Natural gas",INDEX(P_GasEff!$B:$B,MATCH($B$5,P_GasEff!$A:$A,0)),IF($B$10="Electric heat pump",INDEX(P_HPcop!$B:$B,MATCH($B$5,P_HPcop!$A:$A,0)),INDEX(P_Systems!$C:$C,MATCH($B$10,P_Systems!$A:$A,0)))))</f>
        <v/>
      </c>
      <c r="F26">
        <f>IF($B$10="Don't know","mixed",INDEX(P_Systems!$B:$B,MATCH($B$10,P_Systems!$A:$A,0)))</f>
        <v/>
      </c>
      <c r="G26">
        <f>IF($B$10="Don't know",$I$26*INDEX(P_DKHeat!$L:$L,MATCH($B$5,P_DKHeat!$A:$A,0)),$I$26/$E$26)</f>
        <v/>
      </c>
      <c r="H26">
        <f>IF($B$10="Don't know",0,IF($F$26="Electricity",$B$20,INDEX(P_EF_Fuel!$D:$D,MATCH($F$26,P_EF_Fuel!$A:$A,0))))</f>
        <v/>
      </c>
      <c r="I26">
        <f>INDEX(P_Heating!$B:$B,MATCH($B$18,P_Heating!$A:$A,0))*$B$17*$B$21*$B$23</f>
        <v/>
      </c>
      <c r="K26" t="inlineStr">
        <is>
          <t>HP load fraction (f_hp)</t>
        </is>
      </c>
      <c r="L26">
        <f>IF($B$15="Natural gas",INDEX(P_HPcop!$C:$C,MATCH($B$5,P_HPcop!$A:$A,0)),IF($B$15="Oil or propane",INDEX(P_HPcop!$E:$E,MATCH($B$5,P_HPcop!$A:$A,0)),1))</f>
        <v/>
      </c>
    </row>
    <row r="27">
      <c r="A27" s="11" t="inlineStr">
        <is>
          <t>Water heating</t>
        </is>
      </c>
      <c r="B27" s="12">
        <f>IF($B$11="Don't know",$I$27*INDEX(P_DKWater!$H:$H,MATCH($B$5,P_DKWater!$A:$A,0)),$G$27*$H$27)</f>
        <v/>
      </c>
      <c r="D27" s="2">
        <f>TEXT($G$27,"0.0")&amp;" GJ "&amp;$F$27</f>
        <v/>
      </c>
      <c r="E27">
        <f>IF($B$11="Don't know","mixed",INDEX(P_WaterHeat!$C:$C,MATCH($B$11,P_WaterHeat!$A:$A,0)))</f>
        <v/>
      </c>
      <c r="F27">
        <f>IF($B$11="Don't know","mixed",INDEX(P_WaterHeat!$B:$B,MATCH($B$11,P_WaterHeat!$A:$A,0)))</f>
        <v/>
      </c>
      <c r="G27">
        <f>IF($B$11="Don't know",$I$27*INDEX(P_DKWater!$I:$I,MATCH($B$5,P_DKWater!$A:$A,0)),$I$27/$E$27)</f>
        <v/>
      </c>
      <c r="H27">
        <f>IF($B$11="Don't know",0,IF($F$27="Electricity",$B$20,INDEX(P_EF_Fuel!$D:$D,MATCH($F$27,P_EF_Fuel!$A:$A,0))))</f>
        <v/>
      </c>
      <c r="I27">
        <f>INDEX(P_U_water!$B:$B,MATCH($B$19,P_U_water!$A:$A,0))</f>
        <v/>
      </c>
      <c r="K27" t="inlineStr">
        <is>
          <t>HP operating COP</t>
        </is>
      </c>
      <c r="L27">
        <f>IF($B$15="Natural gas",INDEX(P_HPcop!$D:$D,MATCH($B$5,P_HPcop!$A:$A,0)),IF($B$15="Oil or propane",INDEX(P_HPcop!$F:$F,MATCH($B$5,P_HPcop!$A:$A,0)),INDEX(P_HPcop!$B:$B,MATCH($B$5,P_HPcop!$A:$A,0))))</f>
        <v/>
      </c>
    </row>
    <row r="28">
      <c r="A28" s="11" t="inlineStr">
        <is>
          <t>Air conditioning</t>
        </is>
      </c>
      <c r="B28" s="12">
        <f>$G$28*$B$20</f>
        <v/>
      </c>
      <c r="D28" s="2">
        <f>TEXT($G$28,"0.0")&amp;" GJ electricity"</f>
        <v/>
      </c>
      <c r="G28">
        <f>IF($B$12="Yes",INDEX(P_Cooling!$B:$B,MATCH($B$18,P_Cooling!$A:$A,0))*$B$17*$B$21*$B$23,0)</f>
        <v/>
      </c>
      <c r="K28" t="inlineStr">
        <is>
          <t>Backup furnace efficiency</t>
        </is>
      </c>
      <c r="L28">
        <f>IF($B$15="Natural gas",INDEX(P_GasEff!$B:$B,MATCH($B$5,P_GasEff!$A:$A,0)),IF($B$15="Oil or propane",0.84,1))</f>
        <v/>
      </c>
    </row>
    <row r="29">
      <c r="A29" s="13" t="inlineStr">
        <is>
          <t>Other electricity (appliances, lighting, plug)</t>
        </is>
      </c>
      <c r="B29" s="14">
        <f>$G$29*$B$20</f>
        <v/>
      </c>
      <c r="D29">
        <f>TEXT($G$29,"0.0")&amp;" GJ electricity"</f>
        <v/>
      </c>
      <c r="G29">
        <f>INDEX(P_OtherElec!$B:$B,MATCH($B$5,P_OtherElec!$A:$A,0))*$B$22</f>
        <v/>
      </c>
      <c r="K29" t="inlineStr">
        <is>
          <t>Backup fuel EF (kg CO2e/GJ)</t>
        </is>
      </c>
      <c r="L29">
        <f>IF($B$15="Natural gas",INDEX(P_EF_Fuel!$D:$D,MATCH("Natural gas",P_EF_Fuel!$A:$A,0)),IF($B$15="Oil or propane",INDEX(P_EF_Fuel!$D:$D,MATCH("Oil/propane",P_EF_Fuel!$A:$A,0)),0))</f>
        <v/>
      </c>
    </row>
    <row r="30">
      <c r="A30" s="15" t="inlineStr">
        <is>
          <t>TOTAL (kg CO2e/yr)</t>
        </is>
      </c>
      <c r="B30" s="16">
        <f>SUM(B26:B29)</f>
        <v/>
      </c>
      <c r="K30" t="inlineStr">
        <is>
          <t>HP electricity (GJ)</t>
        </is>
      </c>
      <c r="L30">
        <f>$I$26*$L$26/$L$27</f>
        <v/>
      </c>
    </row>
    <row r="31">
      <c r="A31" s="17" t="inlineStr">
        <is>
          <t>TOTAL (tonnes CO2e/yr)</t>
        </is>
      </c>
      <c r="B31" s="18">
        <f>B30/1000</f>
        <v/>
      </c>
      <c r="K31" t="inlineStr">
        <is>
          <t>Backup fuel (GJ)</t>
        </is>
      </c>
      <c r="L31">
        <f>IF(OR($B$15="Natural gas",$B$15="Oil or propane"),$I$26*(1-$L$26)/$L$28,0)</f>
        <v/>
      </c>
    </row>
    <row r="32">
      <c r="A32" s="15" t="inlineStr">
        <is>
          <t>Intensity (kg CO2e/m2/yr)</t>
        </is>
      </c>
      <c r="B32" s="16">
        <f>$B$30/$B$17</f>
        <v/>
      </c>
      <c r="K32" t="inlineStr">
        <is>
          <t>HP+backup emissions (kg CO2e/yr)</t>
        </is>
      </c>
      <c r="L32">
        <f>$L$30*$B$20+$L$31*$L$29</f>
        <v/>
      </c>
    </row>
    <row r="33">
      <c r="A33" t="inlineStr">
        <is>
          <t>Intensity (kg CO2e/ft2/yr)</t>
        </is>
      </c>
      <c r="B33">
        <f>$B$30/($B$17/0.092903)</f>
        <v/>
      </c>
    </row>
  </sheetData>
  <dataValidations count="1">
    <dataValidation sqref="B15" showDropDown="0" showInputMessage="0" showErrorMessage="0" allowBlank="1" type="list">
      <formula1>"Electric,Natural gas,Oil or propane,None,Don't know"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6"/>
  <sheetViews>
    <sheetView topLeftCell="A273" workbookViewId="0">
      <selection activeCell="A1" sqref="A1"/>
    </sheetView>
  </sheetViews>
  <sheetFormatPr baseColWidth="8" defaultRowHeight="15"/>
  <cols>
    <col width="239.85546875" bestFit="1" customWidth="1" style="28" min="1" max="1"/>
  </cols>
  <sheetData>
    <row r="1">
      <c r="A1" s="19" t="inlineStr">
        <is>
          <t>key</t>
        </is>
      </c>
      <c r="B1" s="19" t="inlineStr">
        <is>
          <t>D_GJ_per_m2</t>
        </is>
      </c>
    </row>
    <row r="2">
      <c r="A2" t="inlineStr">
        <is>
          <t>QC|pre-1960</t>
        </is>
      </c>
      <c r="B2" t="n">
        <v>0.85</v>
      </c>
    </row>
    <row r="3">
      <c r="A3" t="inlineStr">
        <is>
          <t>QC|1960-1983</t>
        </is>
      </c>
      <c r="B3" t="n">
        <v>0.65</v>
      </c>
    </row>
    <row r="4">
      <c r="A4" t="inlineStr">
        <is>
          <t>QC|1984-1999</t>
        </is>
      </c>
      <c r="B4" t="n">
        <v>0.45</v>
      </c>
    </row>
    <row r="5">
      <c r="A5" t="inlineStr">
        <is>
          <t>QC|2000+</t>
        </is>
      </c>
      <c r="B5" t="n">
        <v>0.34</v>
      </c>
    </row>
    <row r="6">
      <c r="A6" t="inlineStr">
        <is>
          <t>ON|pre-1960</t>
        </is>
      </c>
      <c r="B6" t="n">
        <v>0.85</v>
      </c>
    </row>
    <row r="7">
      <c r="A7" t="inlineStr">
        <is>
          <t>ON|1960-1983</t>
        </is>
      </c>
      <c r="B7" t="n">
        <v>0.55</v>
      </c>
    </row>
    <row r="8">
      <c r="A8" t="inlineStr">
        <is>
          <t>ON|1984-1999</t>
        </is>
      </c>
      <c r="B8" t="n">
        <v>0.4</v>
      </c>
    </row>
    <row r="9">
      <c r="A9" t="inlineStr">
        <is>
          <t>ON|2000+</t>
        </is>
      </c>
      <c r="B9" t="n">
        <v>0.33</v>
      </c>
    </row>
    <row r="10">
      <c r="A10" t="inlineStr">
        <is>
          <t>AB|pre-1960</t>
        </is>
      </c>
      <c r="B10" t="n">
        <v>0.9</v>
      </c>
    </row>
    <row r="11">
      <c r="A11" t="inlineStr">
        <is>
          <t>AB|1960-1983</t>
        </is>
      </c>
      <c r="B11" t="n">
        <v>0.65</v>
      </c>
    </row>
    <row r="12">
      <c r="A12" t="inlineStr">
        <is>
          <t>AB|1984-1999</t>
        </is>
      </c>
      <c r="B12" t="n">
        <v>0.45</v>
      </c>
    </row>
    <row r="13">
      <c r="A13" t="inlineStr">
        <is>
          <t>AB|2000+</t>
        </is>
      </c>
      <c r="B13" t="n">
        <v>0.36</v>
      </c>
    </row>
    <row r="14">
      <c r="A14" t="inlineStr">
        <is>
          <t>BC|pre-1960</t>
        </is>
      </c>
      <c r="B14" t="n">
        <v>0.55</v>
      </c>
    </row>
    <row r="15">
      <c r="A15" t="inlineStr">
        <is>
          <t>BC|1960-1983</t>
        </is>
      </c>
      <c r="B15" t="n">
        <v>0.4</v>
      </c>
    </row>
    <row r="16">
      <c r="A16" t="inlineStr">
        <is>
          <t>BC|1984-1999</t>
        </is>
      </c>
      <c r="B16" t="n">
        <v>0.3</v>
      </c>
    </row>
    <row r="17">
      <c r="A17" t="inlineStr">
        <is>
          <t>BC|2000+</t>
        </is>
      </c>
      <c r="B17" t="n">
        <v>0.22</v>
      </c>
    </row>
    <row r="18">
      <c r="A18" t="inlineStr">
        <is>
          <t>MB|pre-1960</t>
        </is>
      </c>
      <c r="B18" t="n">
        <v>0.97</v>
      </c>
    </row>
    <row r="19">
      <c r="A19" t="inlineStr">
        <is>
          <t>MB|1960-1983</t>
        </is>
      </c>
      <c r="B19" t="n">
        <v>0.7</v>
      </c>
    </row>
    <row r="20">
      <c r="A20" t="inlineStr">
        <is>
          <t>MB|1984-1999</t>
        </is>
      </c>
      <c r="B20" t="n">
        <v>0.49</v>
      </c>
    </row>
    <row r="21">
      <c r="A21" t="inlineStr">
        <is>
          <t>MB|2000+</t>
        </is>
      </c>
      <c r="B21" t="n">
        <v>0.39</v>
      </c>
    </row>
    <row r="22">
      <c r="A22" t="inlineStr">
        <is>
          <t>SK|pre-1960</t>
        </is>
      </c>
      <c r="B22" t="n">
        <v>0.92</v>
      </c>
    </row>
    <row r="23">
      <c r="A23" t="inlineStr">
        <is>
          <t>SK|1960-1983</t>
        </is>
      </c>
      <c r="B23" t="n">
        <v>0.66</v>
      </c>
    </row>
    <row r="24">
      <c r="A24" t="inlineStr">
        <is>
          <t>SK|1984-1999</t>
        </is>
      </c>
      <c r="B24" t="n">
        <v>0.46</v>
      </c>
    </row>
    <row r="25">
      <c r="A25" t="inlineStr">
        <is>
          <t>SK|2000+</t>
        </is>
      </c>
      <c r="B25" t="n">
        <v>0.37</v>
      </c>
    </row>
    <row r="26">
      <c r="A26" t="inlineStr">
        <is>
          <t>NS|pre-1960</t>
        </is>
      </c>
      <c r="B26" t="n">
        <v>0.8100000000000001</v>
      </c>
    </row>
    <row r="27">
      <c r="A27" t="inlineStr">
        <is>
          <t>NS|1960-1983</t>
        </is>
      </c>
      <c r="B27" t="n">
        <v>0.52</v>
      </c>
    </row>
    <row r="28">
      <c r="A28" t="inlineStr">
        <is>
          <t>NS|1984-1999</t>
        </is>
      </c>
      <c r="B28" t="n">
        <v>0.38</v>
      </c>
    </row>
    <row r="29">
      <c r="A29" t="inlineStr">
        <is>
          <t>NS|2000+</t>
        </is>
      </c>
      <c r="B29" t="n">
        <v>0.31</v>
      </c>
    </row>
    <row r="30">
      <c r="A30" t="inlineStr">
        <is>
          <t>NB|pre-1960</t>
        </is>
      </c>
      <c r="B30" t="n">
        <v>0.85</v>
      </c>
    </row>
    <row r="31">
      <c r="A31" t="inlineStr">
        <is>
          <t>NB|1960-1983</t>
        </is>
      </c>
      <c r="B31" t="n">
        <v>0.58</v>
      </c>
    </row>
    <row r="32">
      <c r="A32" t="inlineStr">
        <is>
          <t>NB|1984-1999</t>
        </is>
      </c>
      <c r="B32" t="n">
        <v>0.42</v>
      </c>
    </row>
    <row r="33">
      <c r="A33" t="inlineStr">
        <is>
          <t>NB|2000+</t>
        </is>
      </c>
      <c r="B33" t="n">
        <v>0.33</v>
      </c>
    </row>
    <row r="34">
      <c r="A34" t="inlineStr">
        <is>
          <t>NL|pre-1960</t>
        </is>
      </c>
      <c r="B34" t="n">
        <v>0.78</v>
      </c>
    </row>
    <row r="35">
      <c r="A35" t="inlineStr">
        <is>
          <t>NL|1960-1983</t>
        </is>
      </c>
      <c r="B35" t="n">
        <v>0.6</v>
      </c>
    </row>
    <row r="36">
      <c r="A36" t="inlineStr">
        <is>
          <t>NL|1984-1999</t>
        </is>
      </c>
      <c r="B36" t="n">
        <v>0.42</v>
      </c>
    </row>
    <row r="37">
      <c r="A37" t="inlineStr">
        <is>
          <t>NL|2000+</t>
        </is>
      </c>
      <c r="B37" t="n">
        <v>0.31</v>
      </c>
    </row>
    <row r="38">
      <c r="A38" t="inlineStr">
        <is>
          <t>PE|pre-1960</t>
        </is>
      </c>
      <c r="B38" t="n">
        <v>0.8100000000000001</v>
      </c>
    </row>
    <row r="39">
      <c r="A39" t="inlineStr">
        <is>
          <t>PE|1960-1983</t>
        </is>
      </c>
      <c r="B39" t="n">
        <v>0.52</v>
      </c>
    </row>
    <row r="40">
      <c r="A40" t="inlineStr">
        <is>
          <t>PE|1984-1999</t>
        </is>
      </c>
      <c r="B40" t="n">
        <v>0.38</v>
      </c>
    </row>
    <row r="41">
      <c r="A41" t="inlineStr">
        <is>
          <t>PE|2000+</t>
        </is>
      </c>
      <c r="B41" t="n">
        <v>0.31</v>
      </c>
    </row>
    <row r="42">
      <c r="A42" t="inlineStr">
        <is>
          <t>YT|pre-1960</t>
        </is>
      </c>
      <c r="B42" t="n">
        <v>1.24</v>
      </c>
    </row>
    <row r="43">
      <c r="A43" t="inlineStr">
        <is>
          <t>YT|1960-1983</t>
        </is>
      </c>
      <c r="B43" t="n">
        <v>0.89</v>
      </c>
    </row>
    <row r="44">
      <c r="A44" t="inlineStr">
        <is>
          <t>YT|1984-1999</t>
        </is>
      </c>
      <c r="B44" t="n">
        <v>0.62</v>
      </c>
    </row>
    <row r="45">
      <c r="A45" t="inlineStr">
        <is>
          <t>YT|2000+</t>
        </is>
      </c>
      <c r="B45" t="n">
        <v>0.49</v>
      </c>
    </row>
    <row r="46">
      <c r="A46" t="inlineStr">
        <is>
          <t>NT|pre-1960</t>
        </is>
      </c>
      <c r="B46" t="n">
        <v>1.5</v>
      </c>
    </row>
    <row r="47">
      <c r="A47" t="inlineStr">
        <is>
          <t>NT|1960-1983</t>
        </is>
      </c>
      <c r="B47" t="n">
        <v>1.08</v>
      </c>
    </row>
    <row r="48">
      <c r="A48" t="inlineStr">
        <is>
          <t>NT|1984-1999</t>
        </is>
      </c>
      <c r="B48" t="n">
        <v>0.75</v>
      </c>
    </row>
    <row r="49">
      <c r="A49" t="inlineStr">
        <is>
          <t>NT|2000+</t>
        </is>
      </c>
      <c r="B49" t="n">
        <v>0.6</v>
      </c>
    </row>
    <row r="50">
      <c r="A50" t="inlineStr">
        <is>
          <t>NU|pre-1960</t>
        </is>
      </c>
      <c r="B50" t="n">
        <v>1.85</v>
      </c>
    </row>
    <row r="51">
      <c r="A51" t="inlineStr">
        <is>
          <t>NU|1960-1983</t>
        </is>
      </c>
      <c r="B51" t="n">
        <v>1.34</v>
      </c>
    </row>
    <row r="52">
      <c r="A52" t="inlineStr">
        <is>
          <t>NU|1984-1999</t>
        </is>
      </c>
      <c r="B52" t="n">
        <v>0.93</v>
      </c>
    </row>
    <row r="53">
      <c r="A53" t="inlineStr">
        <is>
          <t>NU|2000+</t>
        </is>
      </c>
      <c r="B53" t="n">
        <v>0.74</v>
      </c>
    </row>
    <row r="54">
      <c r="A54" t="inlineStr">
        <is>
          <t>CO|pre-1960</t>
        </is>
      </c>
      <c r="B54" t="n">
        <v>0.314</v>
      </c>
    </row>
    <row r="55">
      <c r="A55" t="inlineStr">
        <is>
          <t>CO|1960-1983</t>
        </is>
      </c>
      <c r="B55" t="n">
        <v>0.279</v>
      </c>
    </row>
    <row r="56">
      <c r="A56" t="inlineStr">
        <is>
          <t>CO|1984-1999</t>
        </is>
      </c>
      <c r="B56" t="n">
        <v>0.247</v>
      </c>
    </row>
    <row r="57">
      <c r="A57" t="inlineStr">
        <is>
          <t>CO|2000+</t>
        </is>
      </c>
      <c r="B57" t="n">
        <v>0.199</v>
      </c>
    </row>
    <row r="58">
      <c r="A58" t="inlineStr">
        <is>
          <t>MI|pre-1960</t>
        </is>
      </c>
      <c r="B58" t="n">
        <v>0.46</v>
      </c>
    </row>
    <row r="59">
      <c r="A59" t="inlineStr">
        <is>
          <t>MI|1960-1983</t>
        </is>
      </c>
      <c r="B59" t="n">
        <v>0.357</v>
      </c>
    </row>
    <row r="60">
      <c r="A60" t="inlineStr">
        <is>
          <t>MI|1984-1999</t>
        </is>
      </c>
      <c r="B60" t="n">
        <v>0.289</v>
      </c>
    </row>
    <row r="61">
      <c r="A61" t="inlineStr">
        <is>
          <t>MI|2000+</t>
        </is>
      </c>
      <c r="B61" t="n">
        <v>0.267</v>
      </c>
    </row>
    <row r="62">
      <c r="A62" t="inlineStr">
        <is>
          <t>NY|pre-1960</t>
        </is>
      </c>
      <c r="B62" t="n">
        <v>0.331</v>
      </c>
    </row>
    <row r="63">
      <c r="A63" t="inlineStr">
        <is>
          <t>NY|1960-1983</t>
        </is>
      </c>
      <c r="B63" t="n">
        <v>0.32</v>
      </c>
    </row>
    <row r="64">
      <c r="A64" t="inlineStr">
        <is>
          <t>NY|1984-1999</t>
        </is>
      </c>
      <c r="B64" t="n">
        <v>0.261</v>
      </c>
    </row>
    <row r="65">
      <c r="A65" t="inlineStr">
        <is>
          <t>NY|2000+</t>
        </is>
      </c>
      <c r="B65" t="n">
        <v>0.217</v>
      </c>
    </row>
    <row r="66">
      <c r="A66" t="inlineStr">
        <is>
          <t>WA|pre-1960</t>
        </is>
      </c>
      <c r="B66" t="n">
        <v>0.278</v>
      </c>
    </row>
    <row r="67">
      <c r="A67" t="inlineStr">
        <is>
          <t>WA|1960-1983</t>
        </is>
      </c>
      <c r="B67" t="n">
        <v>0.247</v>
      </c>
    </row>
    <row r="68">
      <c r="A68" t="inlineStr">
        <is>
          <t>WA|1984-1999</t>
        </is>
      </c>
      <c r="B68" t="n">
        <v>0.233</v>
      </c>
    </row>
    <row r="69">
      <c r="A69" t="inlineStr">
        <is>
          <t>WA|2000+</t>
        </is>
      </c>
      <c r="B69" t="n">
        <v>0.182</v>
      </c>
    </row>
    <row r="70">
      <c r="A70" t="inlineStr">
        <is>
          <t>AL|pre-1960</t>
        </is>
      </c>
      <c r="B70" t="n">
        <v>0.191</v>
      </c>
    </row>
    <row r="71">
      <c r="A71" t="inlineStr">
        <is>
          <t>AL|1960-1983</t>
        </is>
      </c>
      <c r="B71" t="n">
        <v>0.163</v>
      </c>
    </row>
    <row r="72">
      <c r="A72" t="inlineStr">
        <is>
          <t>AL|1984-1999</t>
        </is>
      </c>
      <c r="B72" t="n">
        <v>0.141</v>
      </c>
    </row>
    <row r="73">
      <c r="A73" t="inlineStr">
        <is>
          <t>AL|2000+</t>
        </is>
      </c>
      <c r="B73" t="n">
        <v>0.111</v>
      </c>
    </row>
    <row r="74">
      <c r="A74" t="inlineStr">
        <is>
          <t>AK|pre-1960</t>
        </is>
      </c>
      <c r="B74" t="n">
        <v>0.975</v>
      </c>
    </row>
    <row r="75">
      <c r="A75" t="inlineStr">
        <is>
          <t>AK|1960-1983</t>
        </is>
      </c>
      <c r="B75" t="n">
        <v>0.8</v>
      </c>
    </row>
    <row r="76">
      <c r="A76" t="inlineStr">
        <is>
          <t>AK|1984-1999</t>
        </is>
      </c>
      <c r="B76" t="n">
        <v>0.65</v>
      </c>
    </row>
    <row r="77">
      <c r="A77" t="inlineStr">
        <is>
          <t>AK|2000+</t>
        </is>
      </c>
      <c r="B77" t="n">
        <v>0.595</v>
      </c>
    </row>
    <row r="78">
      <c r="A78" t="inlineStr">
        <is>
          <t>AZ|pre-1960</t>
        </is>
      </c>
      <c r="B78" t="n">
        <v>0.118</v>
      </c>
    </row>
    <row r="79">
      <c r="A79" t="inlineStr">
        <is>
          <t>AZ|1960-1983</t>
        </is>
      </c>
      <c r="B79" t="n">
        <v>0.093</v>
      </c>
    </row>
    <row r="80">
      <c r="A80" t="inlineStr">
        <is>
          <t>AZ|1984-1999</t>
        </is>
      </c>
      <c r="B80" t="n">
        <v>0.064</v>
      </c>
    </row>
    <row r="81">
      <c r="A81" t="inlineStr">
        <is>
          <t>AZ|2000+</t>
        </is>
      </c>
      <c r="B81" t="n">
        <v>0.052</v>
      </c>
    </row>
    <row r="82">
      <c r="A82" t="inlineStr">
        <is>
          <t>AR|pre-1960</t>
        </is>
      </c>
      <c r="B82" t="n">
        <v>0.279</v>
      </c>
    </row>
    <row r="83">
      <c r="A83" t="inlineStr">
        <is>
          <t>AR|1960-1983</t>
        </is>
      </c>
      <c r="B83" t="n">
        <v>0.248</v>
      </c>
    </row>
    <row r="84">
      <c r="A84" t="inlineStr">
        <is>
          <t>AR|1984-1999</t>
        </is>
      </c>
      <c r="B84" t="n">
        <v>0.233</v>
      </c>
    </row>
    <row r="85">
      <c r="A85" t="inlineStr">
        <is>
          <t>AR|2000+</t>
        </is>
      </c>
      <c r="B85" t="n">
        <v>0.182</v>
      </c>
    </row>
    <row r="86">
      <c r="A86" t="inlineStr">
        <is>
          <t>CA|pre-1960</t>
        </is>
      </c>
      <c r="B86" t="n">
        <v>0.118</v>
      </c>
    </row>
    <row r="87">
      <c r="A87" t="inlineStr">
        <is>
          <t>CA|1960-1983</t>
        </is>
      </c>
      <c r="B87" t="n">
        <v>0.093</v>
      </c>
    </row>
    <row r="88">
      <c r="A88" t="inlineStr">
        <is>
          <t>CA|1984-1999</t>
        </is>
      </c>
      <c r="B88" t="n">
        <v>0.064</v>
      </c>
    </row>
    <row r="89">
      <c r="A89" t="inlineStr">
        <is>
          <t>CA|2000+</t>
        </is>
      </c>
      <c r="B89" t="n">
        <v>0.052</v>
      </c>
    </row>
    <row r="90">
      <c r="A90" t="inlineStr">
        <is>
          <t>CT|pre-1960</t>
        </is>
      </c>
      <c r="B90" t="n">
        <v>0.339</v>
      </c>
    </row>
    <row r="91">
      <c r="A91" t="inlineStr">
        <is>
          <t>CT|1960-1983</t>
        </is>
      </c>
      <c r="B91" t="n">
        <v>0.322</v>
      </c>
    </row>
    <row r="92">
      <c r="A92" t="inlineStr">
        <is>
          <t>CT|1984-1999</t>
        </is>
      </c>
      <c r="B92" t="n">
        <v>0.263</v>
      </c>
    </row>
    <row r="93">
      <c r="A93" t="inlineStr">
        <is>
          <t>CT|2000+</t>
        </is>
      </c>
      <c r="B93" t="n">
        <v>0.22</v>
      </c>
    </row>
    <row r="94">
      <c r="A94" t="inlineStr">
        <is>
          <t>DE|pre-1960</t>
        </is>
      </c>
      <c r="B94" t="n">
        <v>0.307</v>
      </c>
    </row>
    <row r="95">
      <c r="A95" t="inlineStr">
        <is>
          <t>DE|1960-1983</t>
        </is>
      </c>
      <c r="B95" t="n">
        <v>0.273</v>
      </c>
    </row>
    <row r="96">
      <c r="A96" t="inlineStr">
        <is>
          <t>DE|1984-1999</t>
        </is>
      </c>
      <c r="B96" t="n">
        <v>0.244</v>
      </c>
    </row>
    <row r="97">
      <c r="A97" t="inlineStr">
        <is>
          <t>DE|2000+</t>
        </is>
      </c>
      <c r="B97" t="n">
        <v>0.196</v>
      </c>
    </row>
    <row r="98">
      <c r="A98" t="inlineStr">
        <is>
          <t>FL|pre-1960</t>
        </is>
      </c>
      <c r="B98" t="n">
        <v>0.06</v>
      </c>
    </row>
    <row r="99">
      <c r="A99" t="inlineStr">
        <is>
          <t>FL|1960-1983</t>
        </is>
      </c>
      <c r="B99" t="n">
        <v>0.045</v>
      </c>
    </row>
    <row r="100">
      <c r="A100" t="inlineStr">
        <is>
          <t>FL|1984-1999</t>
        </is>
      </c>
      <c r="B100" t="n">
        <v>0.03</v>
      </c>
    </row>
    <row r="101">
      <c r="A101" t="inlineStr">
        <is>
          <t>FL|2000+</t>
        </is>
      </c>
      <c r="B101" t="n">
        <v>0.025</v>
      </c>
    </row>
    <row r="102">
      <c r="A102" t="inlineStr">
        <is>
          <t>GA|pre-1960</t>
        </is>
      </c>
      <c r="B102" t="n">
        <v>0.267</v>
      </c>
    </row>
    <row r="103">
      <c r="A103" t="inlineStr">
        <is>
          <t>GA|1960-1983</t>
        </is>
      </c>
      <c r="B103" t="n">
        <v>0.236</v>
      </c>
    </row>
    <row r="104">
      <c r="A104" t="inlineStr">
        <is>
          <t>GA|1984-1999</t>
        </is>
      </c>
      <c r="B104" t="n">
        <v>0.221</v>
      </c>
    </row>
    <row r="105">
      <c r="A105" t="inlineStr">
        <is>
          <t>GA|2000+</t>
        </is>
      </c>
      <c r="B105" t="n">
        <v>0.173</v>
      </c>
    </row>
    <row r="106">
      <c r="A106" t="inlineStr">
        <is>
          <t>HI|pre-1960</t>
        </is>
      </c>
      <c r="B106" t="n">
        <v>0.028</v>
      </c>
    </row>
    <row r="107">
      <c r="A107" t="inlineStr">
        <is>
          <t>HI|1960-1983</t>
        </is>
      </c>
      <c r="B107" t="n">
        <v>0.021</v>
      </c>
    </row>
    <row r="108">
      <c r="A108" t="inlineStr">
        <is>
          <t>HI|1984-1999</t>
        </is>
      </c>
      <c r="B108" t="n">
        <v>0.014</v>
      </c>
    </row>
    <row r="109">
      <c r="A109" t="inlineStr">
        <is>
          <t>HI|2000+</t>
        </is>
      </c>
      <c r="B109" t="n">
        <v>0.011</v>
      </c>
    </row>
    <row r="110">
      <c r="A110" t="inlineStr">
        <is>
          <t>ID|pre-1960</t>
        </is>
      </c>
      <c r="B110" t="n">
        <v>0.314</v>
      </c>
    </row>
    <row r="111">
      <c r="A111" t="inlineStr">
        <is>
          <t>ID|1960-1983</t>
        </is>
      </c>
      <c r="B111" t="n">
        <v>0.279</v>
      </c>
    </row>
    <row r="112">
      <c r="A112" t="inlineStr">
        <is>
          <t>ID|1984-1999</t>
        </is>
      </c>
      <c r="B112" t="n">
        <v>0.247</v>
      </c>
    </row>
    <row r="113">
      <c r="A113" t="inlineStr">
        <is>
          <t>ID|2000+</t>
        </is>
      </c>
      <c r="B113" t="n">
        <v>0.199</v>
      </c>
    </row>
    <row r="114">
      <c r="A114" t="inlineStr">
        <is>
          <t>IL|pre-1960</t>
        </is>
      </c>
      <c r="B114" t="n">
        <v>0.379</v>
      </c>
    </row>
    <row r="115">
      <c r="A115" t="inlineStr">
        <is>
          <t>IL|1960-1983</t>
        </is>
      </c>
      <c r="B115" t="n">
        <v>0.334</v>
      </c>
    </row>
    <row r="116">
      <c r="A116" t="inlineStr">
        <is>
          <t>IL|1984-1999</t>
        </is>
      </c>
      <c r="B116" t="n">
        <v>0.271</v>
      </c>
    </row>
    <row r="117">
      <c r="A117" t="inlineStr">
        <is>
          <t>IL|2000+</t>
        </is>
      </c>
      <c r="B117" t="n">
        <v>0.236</v>
      </c>
    </row>
    <row r="118">
      <c r="A118" t="inlineStr">
        <is>
          <t>IN|pre-1960</t>
        </is>
      </c>
      <c r="B118" t="n">
        <v>0.358</v>
      </c>
    </row>
    <row r="119">
      <c r="A119" t="inlineStr">
        <is>
          <t>IN|1960-1983</t>
        </is>
      </c>
      <c r="B119" t="n">
        <v>0.328</v>
      </c>
    </row>
    <row r="120">
      <c r="A120" t="inlineStr">
        <is>
          <t>IN|1984-1999</t>
        </is>
      </c>
      <c r="B120" t="n">
        <v>0.267</v>
      </c>
    </row>
    <row r="121">
      <c r="A121" t="inlineStr">
        <is>
          <t>IN|2000+</t>
        </is>
      </c>
      <c r="B121" t="n">
        <v>0.227</v>
      </c>
    </row>
    <row r="122">
      <c r="A122" t="inlineStr">
        <is>
          <t>IA|pre-1960</t>
        </is>
      </c>
      <c r="B122" t="n">
        <v>0.495</v>
      </c>
    </row>
    <row r="123">
      <c r="A123" t="inlineStr">
        <is>
          <t>IA|1960-1983</t>
        </is>
      </c>
      <c r="B123" t="n">
        <v>0.388</v>
      </c>
    </row>
    <row r="124">
      <c r="A124" t="inlineStr">
        <is>
          <t>IA|1984-1999</t>
        </is>
      </c>
      <c r="B124" t="n">
        <v>0.311</v>
      </c>
    </row>
    <row r="125">
      <c r="A125" t="inlineStr">
        <is>
          <t>IA|2000+</t>
        </is>
      </c>
      <c r="B125" t="n">
        <v>0.287</v>
      </c>
    </row>
    <row r="126">
      <c r="A126" t="inlineStr">
        <is>
          <t>KS|pre-1960</t>
        </is>
      </c>
      <c r="B126" t="n">
        <v>0.311</v>
      </c>
    </row>
    <row r="127">
      <c r="A127" t="inlineStr">
        <is>
          <t>KS|1960-1983</t>
        </is>
      </c>
      <c r="B127" t="n">
        <v>0.277</v>
      </c>
    </row>
    <row r="128">
      <c r="A128" t="inlineStr">
        <is>
          <t>KS|1984-1999</t>
        </is>
      </c>
      <c r="B128" t="n">
        <v>0.246</v>
      </c>
    </row>
    <row r="129">
      <c r="A129" t="inlineStr">
        <is>
          <t>KS|2000+</t>
        </is>
      </c>
      <c r="B129" t="n">
        <v>0.198</v>
      </c>
    </row>
    <row r="130">
      <c r="A130" t="inlineStr">
        <is>
          <t>KY|pre-1960</t>
        </is>
      </c>
      <c r="B130" t="n">
        <v>0.306</v>
      </c>
    </row>
    <row r="131">
      <c r="A131" t="inlineStr">
        <is>
          <t>KY|1960-1983</t>
        </is>
      </c>
      <c r="B131" t="n">
        <v>0.272</v>
      </c>
    </row>
    <row r="132">
      <c r="A132" t="inlineStr">
        <is>
          <t>KY|1984-1999</t>
        </is>
      </c>
      <c r="B132" t="n">
        <v>0.244</v>
      </c>
    </row>
    <row r="133">
      <c r="A133" t="inlineStr">
        <is>
          <t>KY|2000+</t>
        </is>
      </c>
      <c r="B133" t="n">
        <v>0.195</v>
      </c>
    </row>
    <row r="134">
      <c r="A134" t="inlineStr">
        <is>
          <t>LA|pre-1960</t>
        </is>
      </c>
      <c r="B134" t="n">
        <v>0.08799999999999999</v>
      </c>
    </row>
    <row r="135">
      <c r="A135" t="inlineStr">
        <is>
          <t>LA|1960-1983</t>
        </is>
      </c>
      <c r="B135" t="n">
        <v>0.067</v>
      </c>
    </row>
    <row r="136">
      <c r="A136" t="inlineStr">
        <is>
          <t>LA|1984-1999</t>
        </is>
      </c>
      <c r="B136" t="n">
        <v>0.044</v>
      </c>
    </row>
    <row r="137">
      <c r="A137" t="inlineStr">
        <is>
          <t>LA|2000+</t>
        </is>
      </c>
      <c r="B137" t="n">
        <v>0.036</v>
      </c>
    </row>
    <row r="138">
      <c r="A138" t="inlineStr">
        <is>
          <t>ME|pre-1960</t>
        </is>
      </c>
      <c r="B138" t="n">
        <v>0.585</v>
      </c>
    </row>
    <row r="139">
      <c r="A139" t="inlineStr">
        <is>
          <t>ME|1960-1983</t>
        </is>
      </c>
      <c r="B139" t="n">
        <v>0.469</v>
      </c>
    </row>
    <row r="140">
      <c r="A140" t="inlineStr">
        <is>
          <t>ME|1984-1999</t>
        </is>
      </c>
      <c r="B140" t="n">
        <v>0.368</v>
      </c>
    </row>
    <row r="141">
      <c r="A141" t="inlineStr">
        <is>
          <t>ME|2000+</t>
        </is>
      </c>
      <c r="B141" t="n">
        <v>0.34</v>
      </c>
    </row>
    <row r="142">
      <c r="A142" t="inlineStr">
        <is>
          <t>MD|pre-1960</t>
        </is>
      </c>
      <c r="B142" t="n">
        <v>0.306</v>
      </c>
    </row>
    <row r="143">
      <c r="A143" t="inlineStr">
        <is>
          <t>MD|1960-1983</t>
        </is>
      </c>
      <c r="B143" t="n">
        <v>0.272</v>
      </c>
    </row>
    <row r="144">
      <c r="A144" t="inlineStr">
        <is>
          <t>MD|1984-1999</t>
        </is>
      </c>
      <c r="B144" t="n">
        <v>0.244</v>
      </c>
    </row>
    <row r="145">
      <c r="A145" t="inlineStr">
        <is>
          <t>MD|2000+</t>
        </is>
      </c>
      <c r="B145" t="n">
        <v>0.195</v>
      </c>
    </row>
    <row r="146">
      <c r="A146" t="inlineStr">
        <is>
          <t>MA|pre-1960</t>
        </is>
      </c>
      <c r="B146" t="n">
        <v>0.364</v>
      </c>
    </row>
    <row r="147">
      <c r="A147" t="inlineStr">
        <is>
          <t>MA|1960-1983</t>
        </is>
      </c>
      <c r="B147" t="n">
        <v>0.33</v>
      </c>
    </row>
    <row r="148">
      <c r="A148" t="inlineStr">
        <is>
          <t>MA|1984-1999</t>
        </is>
      </c>
      <c r="B148" t="n">
        <v>0.268</v>
      </c>
    </row>
    <row r="149">
      <c r="A149" t="inlineStr">
        <is>
          <t>MA|2000+</t>
        </is>
      </c>
      <c r="B149" t="n">
        <v>0.23</v>
      </c>
    </row>
    <row r="150">
      <c r="A150" t="inlineStr">
        <is>
          <t>MN|pre-1960</t>
        </is>
      </c>
      <c r="B150" t="n">
        <v>0.622</v>
      </c>
    </row>
    <row r="151">
      <c r="A151" t="inlineStr">
        <is>
          <t>MN|1960-1983</t>
        </is>
      </c>
      <c r="B151" t="n">
        <v>0.501</v>
      </c>
    </row>
    <row r="152">
      <c r="A152" t="inlineStr">
        <is>
          <t>MN|1984-1999</t>
        </is>
      </c>
      <c r="B152" t="n">
        <v>0.391</v>
      </c>
    </row>
    <row r="153">
      <c r="A153" t="inlineStr">
        <is>
          <t>MN|2000+</t>
        </is>
      </c>
      <c r="B153" t="n">
        <v>0.361</v>
      </c>
    </row>
    <row r="154">
      <c r="A154" t="inlineStr">
        <is>
          <t>MS|pre-1960</t>
        </is>
      </c>
      <c r="B154" t="n">
        <v>0.135</v>
      </c>
    </row>
    <row r="155">
      <c r="A155" t="inlineStr">
        <is>
          <t>MS|1960-1983</t>
        </is>
      </c>
      <c r="B155" t="n">
        <v>0.109</v>
      </c>
    </row>
    <row r="156">
      <c r="A156" t="inlineStr">
        <is>
          <t>MS|1984-1999</t>
        </is>
      </c>
      <c r="B156" t="n">
        <v>0.082</v>
      </c>
    </row>
    <row r="157">
      <c r="A157" t="inlineStr">
        <is>
          <t>MS|2000+</t>
        </is>
      </c>
      <c r="B157" t="n">
        <v>0.066</v>
      </c>
    </row>
    <row r="158">
      <c r="A158" t="inlineStr">
        <is>
          <t>MO|pre-1960</t>
        </is>
      </c>
      <c r="B158" t="n">
        <v>0.311</v>
      </c>
    </row>
    <row r="159">
      <c r="A159" t="inlineStr">
        <is>
          <t>MO|1960-1983</t>
        </is>
      </c>
      <c r="B159" t="n">
        <v>0.276</v>
      </c>
    </row>
    <row r="160">
      <c r="A160" t="inlineStr">
        <is>
          <t>MO|1984-1999</t>
        </is>
      </c>
      <c r="B160" t="n">
        <v>0.246</v>
      </c>
    </row>
    <row r="161">
      <c r="A161" t="inlineStr">
        <is>
          <t>MO|2000+</t>
        </is>
      </c>
      <c r="B161" t="n">
        <v>0.198</v>
      </c>
    </row>
    <row r="162">
      <c r="A162" t="inlineStr">
        <is>
          <t>MT|pre-1960</t>
        </is>
      </c>
      <c r="B162" t="n">
        <v>0.521</v>
      </c>
    </row>
    <row r="163">
      <c r="A163" t="inlineStr">
        <is>
          <t>MT|1960-1983</t>
        </is>
      </c>
      <c r="B163" t="n">
        <v>0.412</v>
      </c>
    </row>
    <row r="164">
      <c r="A164" t="inlineStr">
        <is>
          <t>MT|1984-1999</t>
        </is>
      </c>
      <c r="B164" t="n">
        <v>0.328</v>
      </c>
    </row>
    <row r="165">
      <c r="A165" t="inlineStr">
        <is>
          <t>MT|2000+</t>
        </is>
      </c>
      <c r="B165" t="n">
        <v>0.303</v>
      </c>
    </row>
    <row r="166">
      <c r="A166" t="inlineStr">
        <is>
          <t>NE|pre-1960</t>
        </is>
      </c>
      <c r="B166" t="n">
        <v>0.423</v>
      </c>
    </row>
    <row r="167">
      <c r="A167" t="inlineStr">
        <is>
          <t>NE|1960-1983</t>
        </is>
      </c>
      <c r="B167" t="n">
        <v>0.346</v>
      </c>
    </row>
    <row r="168">
      <c r="A168" t="inlineStr">
        <is>
          <t>NE|1984-1999</t>
        </is>
      </c>
      <c r="B168" t="n">
        <v>0.281</v>
      </c>
    </row>
    <row r="169">
      <c r="A169" t="inlineStr">
        <is>
          <t>NE|2000+</t>
        </is>
      </c>
      <c r="B169" t="n">
        <v>0.252</v>
      </c>
    </row>
    <row r="170">
      <c r="A170" t="inlineStr">
        <is>
          <t>NV|pre-1960</t>
        </is>
      </c>
      <c r="B170" t="n">
        <v>0.305</v>
      </c>
    </row>
    <row r="171">
      <c r="A171" t="inlineStr">
        <is>
          <t>NV|1960-1983</t>
        </is>
      </c>
      <c r="B171" t="n">
        <v>0.271</v>
      </c>
    </row>
    <row r="172">
      <c r="A172" t="inlineStr">
        <is>
          <t>NV|1984-1999</t>
        </is>
      </c>
      <c r="B172" t="n">
        <v>0.243</v>
      </c>
    </row>
    <row r="173">
      <c r="A173" t="inlineStr">
        <is>
          <t>NV|2000+</t>
        </is>
      </c>
      <c r="B173" t="n">
        <v>0.195</v>
      </c>
    </row>
    <row r="174">
      <c r="A174" t="inlineStr">
        <is>
          <t>NH|pre-1960</t>
        </is>
      </c>
      <c r="B174" t="n">
        <v>0.509</v>
      </c>
    </row>
    <row r="175">
      <c r="A175" t="inlineStr">
        <is>
          <t>NH|1960-1983</t>
        </is>
      </c>
      <c r="B175" t="n">
        <v>0.4</v>
      </c>
    </row>
    <row r="176">
      <c r="A176" t="inlineStr">
        <is>
          <t>NH|1984-1999</t>
        </is>
      </c>
      <c r="B176" t="n">
        <v>0.32</v>
      </c>
    </row>
    <row r="177">
      <c r="A177" t="inlineStr">
        <is>
          <t>NH|2000+</t>
        </is>
      </c>
      <c r="B177" t="n">
        <v>0.295</v>
      </c>
    </row>
    <row r="178">
      <c r="A178" t="inlineStr">
        <is>
          <t>NJ|pre-1960</t>
        </is>
      </c>
      <c r="B178" t="n">
        <v>0.311</v>
      </c>
    </row>
    <row r="179">
      <c r="A179" t="inlineStr">
        <is>
          <t>NJ|1960-1983</t>
        </is>
      </c>
      <c r="B179" t="n">
        <v>0.276</v>
      </c>
    </row>
    <row r="180">
      <c r="A180" t="inlineStr">
        <is>
          <t>NJ|1984-1999</t>
        </is>
      </c>
      <c r="B180" t="n">
        <v>0.246</v>
      </c>
    </row>
    <row r="181">
      <c r="A181" t="inlineStr">
        <is>
          <t>NJ|2000+</t>
        </is>
      </c>
      <c r="B181" t="n">
        <v>0.198</v>
      </c>
    </row>
    <row r="182">
      <c r="A182" t="inlineStr">
        <is>
          <t>NM|pre-1960</t>
        </is>
      </c>
      <c r="B182" t="n">
        <v>0.31</v>
      </c>
    </row>
    <row r="183">
      <c r="A183" t="inlineStr">
        <is>
          <t>NM|1960-1983</t>
        </is>
      </c>
      <c r="B183" t="n">
        <v>0.276</v>
      </c>
    </row>
    <row r="184">
      <c r="A184" t="inlineStr">
        <is>
          <t>NM|1984-1999</t>
        </is>
      </c>
      <c r="B184" t="n">
        <v>0.246</v>
      </c>
    </row>
    <row r="185">
      <c r="A185" t="inlineStr">
        <is>
          <t>NM|2000+</t>
        </is>
      </c>
      <c r="B185" t="n">
        <v>0.197</v>
      </c>
    </row>
    <row r="186">
      <c r="A186" t="inlineStr">
        <is>
          <t>NC|pre-1960</t>
        </is>
      </c>
      <c r="B186" t="n">
        <v>0.287</v>
      </c>
    </row>
    <row r="187">
      <c r="A187" t="inlineStr">
        <is>
          <t>NC|1960-1983</t>
        </is>
      </c>
      <c r="B187" t="n">
        <v>0.255</v>
      </c>
    </row>
    <row r="188">
      <c r="A188" t="inlineStr">
        <is>
          <t>NC|1984-1999</t>
        </is>
      </c>
      <c r="B188" t="n">
        <v>0.236</v>
      </c>
    </row>
    <row r="189">
      <c r="A189" t="inlineStr">
        <is>
          <t>NC|2000+</t>
        </is>
      </c>
      <c r="B189" t="n">
        <v>0.186</v>
      </c>
    </row>
    <row r="190">
      <c r="A190" t="inlineStr">
        <is>
          <t>ND|pre-1960</t>
        </is>
      </c>
      <c r="B190" t="n">
        <v>0.635</v>
      </c>
    </row>
    <row r="191">
      <c r="A191" t="inlineStr">
        <is>
          <t>ND|1960-1983</t>
        </is>
      </c>
      <c r="B191" t="n">
        <v>0.513</v>
      </c>
    </row>
    <row r="192">
      <c r="A192" t="inlineStr">
        <is>
          <t>ND|1984-1999</t>
        </is>
      </c>
      <c r="B192" t="n">
        <v>0.401</v>
      </c>
    </row>
    <row r="193">
      <c r="A193" t="inlineStr">
        <is>
          <t>ND|2000+</t>
        </is>
      </c>
      <c r="B193" t="n">
        <v>0.37</v>
      </c>
    </row>
    <row r="194">
      <c r="A194" t="inlineStr">
        <is>
          <t>OH|pre-1960</t>
        </is>
      </c>
      <c r="B194" t="n">
        <v>0.356</v>
      </c>
    </row>
    <row r="195">
      <c r="A195" t="inlineStr">
        <is>
          <t>OH|1960-1983</t>
        </is>
      </c>
      <c r="B195" t="n">
        <v>0.327</v>
      </c>
    </row>
    <row r="196">
      <c r="A196" t="inlineStr">
        <is>
          <t>OH|1984-1999</t>
        </is>
      </c>
      <c r="B196" t="n">
        <v>0.266</v>
      </c>
    </row>
    <row r="197">
      <c r="A197" t="inlineStr">
        <is>
          <t>OH|2000+</t>
        </is>
      </c>
      <c r="B197" t="n">
        <v>0.227</v>
      </c>
    </row>
    <row r="198">
      <c r="A198" t="inlineStr">
        <is>
          <t>OK|pre-1960</t>
        </is>
      </c>
      <c r="B198" t="n">
        <v>0.283</v>
      </c>
    </row>
    <row r="199">
      <c r="A199" t="inlineStr">
        <is>
          <t>OK|1960-1983</t>
        </is>
      </c>
      <c r="B199" t="n">
        <v>0.251</v>
      </c>
    </row>
    <row r="200">
      <c r="A200" t="inlineStr">
        <is>
          <t>OK|1984-1999</t>
        </is>
      </c>
      <c r="B200" t="n">
        <v>0.235</v>
      </c>
    </row>
    <row r="201">
      <c r="A201" t="inlineStr">
        <is>
          <t>OK|2000+</t>
        </is>
      </c>
      <c r="B201" t="n">
        <v>0.184</v>
      </c>
    </row>
    <row r="202">
      <c r="A202" t="inlineStr">
        <is>
          <t>OR|pre-1960</t>
        </is>
      </c>
      <c r="B202" t="n">
        <v>0.288</v>
      </c>
    </row>
    <row r="203">
      <c r="A203" t="inlineStr">
        <is>
          <t>OR|1960-1983</t>
        </is>
      </c>
      <c r="B203" t="n">
        <v>0.256</v>
      </c>
    </row>
    <row r="204">
      <c r="A204" t="inlineStr">
        <is>
          <t>OR|1984-1999</t>
        </is>
      </c>
      <c r="B204" t="n">
        <v>0.237</v>
      </c>
    </row>
    <row r="205">
      <c r="A205" t="inlineStr">
        <is>
          <t>OR|2000+</t>
        </is>
      </c>
      <c r="B205" t="n">
        <v>0.187</v>
      </c>
    </row>
    <row r="206">
      <c r="A206" t="inlineStr">
        <is>
          <t>PA|pre-1960</t>
        </is>
      </c>
      <c r="B206" t="n">
        <v>0.352</v>
      </c>
    </row>
    <row r="207">
      <c r="A207" t="inlineStr">
        <is>
          <t>PA|1960-1983</t>
        </is>
      </c>
      <c r="B207" t="n">
        <v>0.326</v>
      </c>
    </row>
    <row r="208">
      <c r="A208" t="inlineStr">
        <is>
          <t>PA|1984-1999</t>
        </is>
      </c>
      <c r="B208" t="n">
        <v>0.266</v>
      </c>
    </row>
    <row r="209">
      <c r="A209" t="inlineStr">
        <is>
          <t>PA|2000+</t>
        </is>
      </c>
      <c r="B209" t="n">
        <v>0.225</v>
      </c>
    </row>
    <row r="210">
      <c r="A210" t="inlineStr">
        <is>
          <t>RI|pre-1960</t>
        </is>
      </c>
      <c r="B210" t="n">
        <v>0.358</v>
      </c>
    </row>
    <row r="211">
      <c r="A211" t="inlineStr">
        <is>
          <t>RI|1960-1983</t>
        </is>
      </c>
      <c r="B211" t="n">
        <v>0.328</v>
      </c>
    </row>
    <row r="212">
      <c r="A212" t="inlineStr">
        <is>
          <t>RI|1984-1999</t>
        </is>
      </c>
      <c r="B212" t="n">
        <v>0.267</v>
      </c>
    </row>
    <row r="213">
      <c r="A213" t="inlineStr">
        <is>
          <t>RI|2000+</t>
        </is>
      </c>
      <c r="B213" t="n">
        <v>0.227</v>
      </c>
    </row>
    <row r="214">
      <c r="A214" t="inlineStr">
        <is>
          <t>SC|pre-1960</t>
        </is>
      </c>
      <c r="B214" t="n">
        <v>0.191</v>
      </c>
    </row>
    <row r="215">
      <c r="A215" t="inlineStr">
        <is>
          <t>SC|1960-1983</t>
        </is>
      </c>
      <c r="B215" t="n">
        <v>0.163</v>
      </c>
    </row>
    <row r="216">
      <c r="A216" t="inlineStr">
        <is>
          <t>SC|1984-1999</t>
        </is>
      </c>
      <c r="B216" t="n">
        <v>0.141</v>
      </c>
    </row>
    <row r="217">
      <c r="A217" t="inlineStr">
        <is>
          <t>SC|2000+</t>
        </is>
      </c>
      <c r="B217" t="n">
        <v>0.111</v>
      </c>
    </row>
    <row r="218">
      <c r="A218" t="inlineStr">
        <is>
          <t>SD|pre-1960</t>
        </is>
      </c>
      <c r="B218" t="n">
        <v>0.512</v>
      </c>
    </row>
    <row r="219">
      <c r="A219" t="inlineStr">
        <is>
          <t>SD|1960-1983</t>
        </is>
      </c>
      <c r="B219" t="n">
        <v>0.403</v>
      </c>
    </row>
    <row r="220">
      <c r="A220" t="inlineStr">
        <is>
          <t>SD|1984-1999</t>
        </is>
      </c>
      <c r="B220" t="n">
        <v>0.322</v>
      </c>
    </row>
    <row r="221">
      <c r="A221" t="inlineStr">
        <is>
          <t>SD|2000+</t>
        </is>
      </c>
      <c r="B221" t="n">
        <v>0.297</v>
      </c>
    </row>
    <row r="222">
      <c r="A222" t="inlineStr">
        <is>
          <t>TN|pre-1960</t>
        </is>
      </c>
      <c r="B222" t="n">
        <v>0.293</v>
      </c>
    </row>
    <row r="223">
      <c r="A223" t="inlineStr">
        <is>
          <t>TN|1960-1983</t>
        </is>
      </c>
      <c r="B223" t="n">
        <v>0.261</v>
      </c>
    </row>
    <row r="224">
      <c r="A224" t="inlineStr">
        <is>
          <t>TN|1984-1999</t>
        </is>
      </c>
      <c r="B224" t="n">
        <v>0.239</v>
      </c>
    </row>
    <row r="225">
      <c r="A225" t="inlineStr">
        <is>
          <t>TN|2000+</t>
        </is>
      </c>
      <c r="B225" t="n">
        <v>0.189</v>
      </c>
    </row>
    <row r="226">
      <c r="A226" t="inlineStr">
        <is>
          <t>TX|pre-1960</t>
        </is>
      </c>
      <c r="B226" t="n">
        <v>0.102</v>
      </c>
    </row>
    <row r="227">
      <c r="A227" t="inlineStr">
        <is>
          <t>TX|1960-1983</t>
        </is>
      </c>
      <c r="B227" t="n">
        <v>0.079</v>
      </c>
    </row>
    <row r="228">
      <c r="A228" t="inlineStr">
        <is>
          <t>TX|1984-1999</t>
        </is>
      </c>
      <c r="B228" t="n">
        <v>0.051</v>
      </c>
    </row>
    <row r="229">
      <c r="A229" t="inlineStr">
        <is>
          <t>TX|2000+</t>
        </is>
      </c>
      <c r="B229" t="n">
        <v>0.042</v>
      </c>
    </row>
    <row r="230">
      <c r="A230" t="inlineStr">
        <is>
          <t>UT|pre-1960</t>
        </is>
      </c>
      <c r="B230" t="n">
        <v>0.373</v>
      </c>
    </row>
    <row r="231">
      <c r="A231" t="inlineStr">
        <is>
          <t>UT|1960-1983</t>
        </is>
      </c>
      <c r="B231" t="n">
        <v>0.332</v>
      </c>
    </row>
    <row r="232">
      <c r="A232" t="inlineStr">
        <is>
          <t>UT|1984-1999</t>
        </is>
      </c>
      <c r="B232" t="n">
        <v>0.27</v>
      </c>
    </row>
    <row r="233">
      <c r="A233" t="inlineStr">
        <is>
          <t>UT|2000+</t>
        </is>
      </c>
      <c r="B233" t="n">
        <v>0.233</v>
      </c>
    </row>
    <row r="234">
      <c r="A234" t="inlineStr">
        <is>
          <t>VT|pre-1960</t>
        </is>
      </c>
      <c r="B234" t="n">
        <v>0.589</v>
      </c>
    </row>
    <row r="235">
      <c r="A235" t="inlineStr">
        <is>
          <t>VT|1960-1983</t>
        </is>
      </c>
      <c r="B235" t="n">
        <v>0.472</v>
      </c>
    </row>
    <row r="236">
      <c r="A236" t="inlineStr">
        <is>
          <t>VT|1984-1999</t>
        </is>
      </c>
      <c r="B236" t="n">
        <v>0.37</v>
      </c>
    </row>
    <row r="237">
      <c r="A237" t="inlineStr">
        <is>
          <t>VT|2000+</t>
        </is>
      </c>
      <c r="B237" t="n">
        <v>0.342</v>
      </c>
    </row>
    <row r="238">
      <c r="A238" t="inlineStr">
        <is>
          <t>VA|pre-1960</t>
        </is>
      </c>
      <c r="B238" t="n">
        <v>0.299</v>
      </c>
    </row>
    <row r="239">
      <c r="A239" t="inlineStr">
        <is>
          <t>VA|1960-1983</t>
        </is>
      </c>
      <c r="B239" t="n">
        <v>0.266</v>
      </c>
    </row>
    <row r="240">
      <c r="A240" t="inlineStr">
        <is>
          <t>VA|1984-1999</t>
        </is>
      </c>
      <c r="B240" t="n">
        <v>0.241</v>
      </c>
    </row>
    <row r="241">
      <c r="A241" t="inlineStr">
        <is>
          <t>VA|2000+</t>
        </is>
      </c>
      <c r="B241" t="n">
        <v>0.192</v>
      </c>
    </row>
    <row r="242">
      <c r="A242" t="inlineStr">
        <is>
          <t>WV|pre-1960</t>
        </is>
      </c>
      <c r="B242" t="n">
        <v>0.358</v>
      </c>
    </row>
    <row r="243">
      <c r="A243" t="inlineStr">
        <is>
          <t>WV|1960-1983</t>
        </is>
      </c>
      <c r="B243" t="n">
        <v>0.328</v>
      </c>
    </row>
    <row r="244">
      <c r="A244" t="inlineStr">
        <is>
          <t>WV|1984-1999</t>
        </is>
      </c>
      <c r="B244" t="n">
        <v>0.267</v>
      </c>
    </row>
    <row r="245">
      <c r="A245" t="inlineStr">
        <is>
          <t>WV|2000+</t>
        </is>
      </c>
      <c r="B245" t="n">
        <v>0.227</v>
      </c>
    </row>
    <row r="246">
      <c r="A246" t="inlineStr">
        <is>
          <t>WI|pre-1960</t>
        </is>
      </c>
      <c r="B246" t="n">
        <v>0.496</v>
      </c>
    </row>
    <row r="247">
      <c r="A247" t="inlineStr">
        <is>
          <t>WI|1960-1983</t>
        </is>
      </c>
      <c r="B247" t="n">
        <v>0.389</v>
      </c>
    </row>
    <row r="248">
      <c r="A248" t="inlineStr">
        <is>
          <t>WI|1984-1999</t>
        </is>
      </c>
      <c r="B248" t="n">
        <v>0.312</v>
      </c>
    </row>
    <row r="249">
      <c r="A249" t="inlineStr">
        <is>
          <t>WI|2000+</t>
        </is>
      </c>
      <c r="B249" t="n">
        <v>0.288</v>
      </c>
    </row>
    <row r="250">
      <c r="A250" t="inlineStr">
        <is>
          <t>WY|pre-1960</t>
        </is>
      </c>
      <c r="B250" t="n">
        <v>0.482</v>
      </c>
    </row>
    <row r="251">
      <c r="A251" t="inlineStr">
        <is>
          <t>WY|1960-1983</t>
        </is>
      </c>
      <c r="B251" t="n">
        <v>0.377</v>
      </c>
    </row>
    <row r="252">
      <c r="A252" t="inlineStr">
        <is>
          <t>WY|1984-1999</t>
        </is>
      </c>
      <c r="B252" t="n">
        <v>0.303</v>
      </c>
    </row>
    <row r="253">
      <c r="A253" t="inlineStr">
        <is>
          <t>WY|2000+</t>
        </is>
      </c>
      <c r="B253" t="n">
        <v>0.28</v>
      </c>
    </row>
    <row r="254">
      <c r="A254" t="inlineStr">
        <is>
          <t>DC|pre-1960</t>
        </is>
      </c>
      <c r="B254" t="n">
        <v>0.307</v>
      </c>
    </row>
    <row r="255">
      <c r="A255" t="inlineStr">
        <is>
          <t>DC|1960-1983</t>
        </is>
      </c>
      <c r="B255" t="n">
        <v>0.273</v>
      </c>
    </row>
    <row r="256">
      <c r="A256" t="inlineStr">
        <is>
          <t>DC|1984-1999</t>
        </is>
      </c>
      <c r="B256" t="n">
        <v>0.244</v>
      </c>
    </row>
    <row r="257">
      <c r="A257" t="inlineStr">
        <is>
          <t>DC|2000+</t>
        </is>
      </c>
      <c r="B257" t="n">
        <v>0.196</v>
      </c>
    </row>
    <row r="258">
      <c r="A258" t="inlineStr">
        <is>
          <t>PR|pre-1960</t>
        </is>
      </c>
      <c r="B258" t="n">
        <v>0.01</v>
      </c>
    </row>
    <row r="259">
      <c r="A259" t="inlineStr">
        <is>
          <t>PR|1960-1983</t>
        </is>
      </c>
      <c r="B259" t="n">
        <v>0.007</v>
      </c>
    </row>
    <row r="260">
      <c r="A260" t="inlineStr">
        <is>
          <t>PR|1984-1999</t>
        </is>
      </c>
      <c r="B260" t="n">
        <v>0.005</v>
      </c>
    </row>
    <row r="261">
      <c r="A261" t="inlineStr">
        <is>
          <t>PR|2000+</t>
        </is>
      </c>
      <c r="B261" t="n">
        <v>0.004</v>
      </c>
    </row>
    <row r="262">
      <c r="A262" t="inlineStr">
        <is>
          <t>VI|pre-1960</t>
        </is>
      </c>
      <c r="B262" t="n">
        <v>0.01</v>
      </c>
    </row>
    <row r="263">
      <c r="A263" t="inlineStr">
        <is>
          <t>VI|1960-1983</t>
        </is>
      </c>
      <c r="B263" t="n">
        <v>0.007</v>
      </c>
    </row>
    <row r="264">
      <c r="A264" t="inlineStr">
        <is>
          <t>VI|1984-1999</t>
        </is>
      </c>
      <c r="B264" t="n">
        <v>0.005</v>
      </c>
    </row>
    <row r="265">
      <c r="A265" t="inlineStr">
        <is>
          <t>VI|2000+</t>
        </is>
      </c>
      <c r="B265" t="n">
        <v>0.004</v>
      </c>
    </row>
    <row r="266">
      <c r="A266" t="inlineStr">
        <is>
          <t>Space-heating useful heat demand D (GJ per m² per year). CA (QC/ON/AB/BC): NRCan CEUD Table 33 (2023); others estimated by HDD analogy. US: EIA RECS 2020 state×vintage, gas-consumed × 0.85 fleet AFUE; new states estimated by HDD interpolation (base 18°C).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6"/>
  <sheetViews>
    <sheetView topLeftCell="A168" workbookViewId="0">
      <selection activeCell="A1" sqref="A1"/>
    </sheetView>
  </sheetViews>
  <sheetFormatPr baseColWidth="8" defaultRowHeight="15"/>
  <sheetData>
    <row r="1">
      <c r="A1" s="19" t="inlineStr">
        <is>
          <t>key</t>
        </is>
      </c>
      <c r="B1" s="19" t="inlineStr">
        <is>
          <t>cool_GJ_per_m2</t>
        </is>
      </c>
    </row>
    <row r="2">
      <c r="A2" t="inlineStr">
        <is>
          <t>QC|pre-1960</t>
        </is>
      </c>
      <c r="B2" t="n">
        <v>0.053</v>
      </c>
    </row>
    <row r="3">
      <c r="A3" t="inlineStr">
        <is>
          <t>QC|1960-1983</t>
        </is>
      </c>
      <c r="B3" t="n">
        <v>0.041</v>
      </c>
    </row>
    <row r="4">
      <c r="A4" t="inlineStr">
        <is>
          <t>QC|1984-1999</t>
        </is>
      </c>
      <c r="B4" t="n">
        <v>0.029</v>
      </c>
    </row>
    <row r="5">
      <c r="A5" t="inlineStr">
        <is>
          <t>QC|2000+</t>
        </is>
      </c>
      <c r="B5" t="n">
        <v>0.024</v>
      </c>
    </row>
    <row r="6">
      <c r="A6" t="inlineStr">
        <is>
          <t>ON|pre-1960</t>
        </is>
      </c>
      <c r="B6" t="n">
        <v>0.043</v>
      </c>
    </row>
    <row r="7">
      <c r="A7" t="inlineStr">
        <is>
          <t>ON|1960-1983</t>
        </is>
      </c>
      <c r="B7" t="n">
        <v>0.033</v>
      </c>
    </row>
    <row r="8">
      <c r="A8" t="inlineStr">
        <is>
          <t>ON|1984-1999</t>
        </is>
      </c>
      <c r="B8" t="n">
        <v>0.023</v>
      </c>
    </row>
    <row r="9">
      <c r="A9" t="inlineStr">
        <is>
          <t>ON|2000+</t>
        </is>
      </c>
      <c r="B9" t="n">
        <v>0.019</v>
      </c>
    </row>
    <row r="10">
      <c r="A10" t="inlineStr">
        <is>
          <t>AB|pre-1960</t>
        </is>
      </c>
      <c r="B10" t="n">
        <v>0.008999999999999999</v>
      </c>
    </row>
    <row r="11">
      <c r="A11" t="inlineStr">
        <is>
          <t>AB|1960-1983</t>
        </is>
      </c>
      <c r="B11" t="n">
        <v>0.007</v>
      </c>
    </row>
    <row r="12">
      <c r="A12" t="inlineStr">
        <is>
          <t>AB|1984-1999</t>
        </is>
      </c>
      <c r="B12" t="n">
        <v>0.005</v>
      </c>
    </row>
    <row r="13">
      <c r="A13" t="inlineStr">
        <is>
          <t>AB|2000+</t>
        </is>
      </c>
      <c r="B13" t="n">
        <v>0.004</v>
      </c>
    </row>
    <row r="14">
      <c r="A14" t="inlineStr">
        <is>
          <t>BC|pre-1960</t>
        </is>
      </c>
      <c r="B14" t="n">
        <v>0.029</v>
      </c>
    </row>
    <row r="15">
      <c r="A15" t="inlineStr">
        <is>
          <t>BC|1960-1983</t>
        </is>
      </c>
      <c r="B15" t="n">
        <v>0.023</v>
      </c>
    </row>
    <row r="16">
      <c r="A16" t="inlineStr">
        <is>
          <t>BC|1984-1999</t>
        </is>
      </c>
      <c r="B16" t="n">
        <v>0.016</v>
      </c>
    </row>
    <row r="17">
      <c r="A17" t="inlineStr">
        <is>
          <t>BC|2000+</t>
        </is>
      </c>
      <c r="B17" t="n">
        <v>0.013</v>
      </c>
    </row>
    <row r="18">
      <c r="A18" t="inlineStr">
        <is>
          <t>MB|pre-1960</t>
        </is>
      </c>
      <c r="B18" t="n">
        <v>0.042</v>
      </c>
    </row>
    <row r="19">
      <c r="A19" t="inlineStr">
        <is>
          <t>MB|1960-1983</t>
        </is>
      </c>
      <c r="B19" t="n">
        <v>0.033</v>
      </c>
    </row>
    <row r="20">
      <c r="A20" t="inlineStr">
        <is>
          <t>MB|1984-1999</t>
        </is>
      </c>
      <c r="B20" t="n">
        <v>0.023</v>
      </c>
    </row>
    <row r="21">
      <c r="A21" t="inlineStr">
        <is>
          <t>MB|2000+</t>
        </is>
      </c>
      <c r="B21" t="n">
        <v>0.019</v>
      </c>
    </row>
    <row r="22">
      <c r="A22" t="inlineStr">
        <is>
          <t>SK|pre-1960</t>
        </is>
      </c>
      <c r="B22" t="n">
        <v>0.015</v>
      </c>
    </row>
    <row r="23">
      <c r="A23" t="inlineStr">
        <is>
          <t>SK|1960-1983</t>
        </is>
      </c>
      <c r="B23" t="n">
        <v>0.012</v>
      </c>
    </row>
    <row r="24">
      <c r="A24" t="inlineStr">
        <is>
          <t>SK|1984-1999</t>
        </is>
      </c>
      <c r="B24" t="n">
        <v>0.008</v>
      </c>
    </row>
    <row r="25">
      <c r="A25" t="inlineStr">
        <is>
          <t>SK|2000+</t>
        </is>
      </c>
      <c r="B25" t="n">
        <v>0.006</v>
      </c>
    </row>
    <row r="26">
      <c r="A26" t="inlineStr">
        <is>
          <t>NS|pre-1960</t>
        </is>
      </c>
      <c r="B26" t="n">
        <v>0.028</v>
      </c>
    </row>
    <row r="27">
      <c r="A27" t="inlineStr">
        <is>
          <t>NS|1960-1983</t>
        </is>
      </c>
      <c r="B27" t="n">
        <v>0.022</v>
      </c>
    </row>
    <row r="28">
      <c r="A28" t="inlineStr">
        <is>
          <t>NS|1984-1999</t>
        </is>
      </c>
      <c r="B28" t="n">
        <v>0.015</v>
      </c>
    </row>
    <row r="29">
      <c r="A29" t="inlineStr">
        <is>
          <t>NS|2000+</t>
        </is>
      </c>
      <c r="B29" t="n">
        <v>0.012</v>
      </c>
    </row>
    <row r="30">
      <c r="A30" t="inlineStr">
        <is>
          <t>NB|pre-1960</t>
        </is>
      </c>
      <c r="B30" t="n">
        <v>0.03</v>
      </c>
    </row>
    <row r="31">
      <c r="A31" t="inlineStr">
        <is>
          <t>NB|1960-1983</t>
        </is>
      </c>
      <c r="B31" t="n">
        <v>0.023</v>
      </c>
    </row>
    <row r="32">
      <c r="A32" t="inlineStr">
        <is>
          <t>NB|1984-1999</t>
        </is>
      </c>
      <c r="B32" t="n">
        <v>0.016</v>
      </c>
    </row>
    <row r="33">
      <c r="A33" t="inlineStr">
        <is>
          <t>NB|2000+</t>
        </is>
      </c>
      <c r="B33" t="n">
        <v>0.013</v>
      </c>
    </row>
    <row r="34">
      <c r="A34" t="inlineStr">
        <is>
          <t>NL|pre-1960</t>
        </is>
      </c>
      <c r="B34" t="n">
        <v>0.012</v>
      </c>
    </row>
    <row r="35">
      <c r="A35" t="inlineStr">
        <is>
          <t>NL|1960-1983</t>
        </is>
      </c>
      <c r="B35" t="n">
        <v>0.01</v>
      </c>
    </row>
    <row r="36">
      <c r="A36" t="inlineStr">
        <is>
          <t>NL|1984-1999</t>
        </is>
      </c>
      <c r="B36" t="n">
        <v>0.007</v>
      </c>
    </row>
    <row r="37">
      <c r="A37" t="inlineStr">
        <is>
          <t>NL|2000+</t>
        </is>
      </c>
      <c r="B37" t="n">
        <v>0.005</v>
      </c>
    </row>
    <row r="38">
      <c r="A38" t="inlineStr">
        <is>
          <t>PE|pre-1960</t>
        </is>
      </c>
      <c r="B38" t="n">
        <v>0.025</v>
      </c>
    </row>
    <row r="39">
      <c r="A39" t="inlineStr">
        <is>
          <t>PE|1960-1983</t>
        </is>
      </c>
      <c r="B39" t="n">
        <v>0.019</v>
      </c>
    </row>
    <row r="40">
      <c r="A40" t="inlineStr">
        <is>
          <t>PE|1984-1999</t>
        </is>
      </c>
      <c r="B40" t="n">
        <v>0.013</v>
      </c>
    </row>
    <row r="41">
      <c r="A41" t="inlineStr">
        <is>
          <t>PE|2000+</t>
        </is>
      </c>
      <c r="B41" t="n">
        <v>0.011</v>
      </c>
    </row>
    <row r="42">
      <c r="A42" t="inlineStr">
        <is>
          <t>YT|pre-1960</t>
        </is>
      </c>
      <c r="B42" t="n">
        <v>0.002</v>
      </c>
    </row>
    <row r="43">
      <c r="A43" t="inlineStr">
        <is>
          <t>YT|1960-1983</t>
        </is>
      </c>
      <c r="B43" t="n">
        <v>0.002</v>
      </c>
    </row>
    <row r="44">
      <c r="A44" t="inlineStr">
        <is>
          <t>YT|1984-1999</t>
        </is>
      </c>
      <c r="B44" t="n">
        <v>0.001</v>
      </c>
    </row>
    <row r="45">
      <c r="A45" t="inlineStr">
        <is>
          <t>YT|2000+</t>
        </is>
      </c>
      <c r="B45" t="n">
        <v>0.001</v>
      </c>
    </row>
    <row r="46">
      <c r="A46" t="inlineStr">
        <is>
          <t>NT|pre-1960</t>
        </is>
      </c>
      <c r="B46" t="n">
        <v>0.002</v>
      </c>
    </row>
    <row r="47">
      <c r="A47" t="inlineStr">
        <is>
          <t>NT|1960-1983</t>
        </is>
      </c>
      <c r="B47" t="n">
        <v>0.002</v>
      </c>
    </row>
    <row r="48">
      <c r="A48" t="inlineStr">
        <is>
          <t>NT|1984-1999</t>
        </is>
      </c>
      <c r="B48" t="n">
        <v>0.001</v>
      </c>
    </row>
    <row r="49">
      <c r="A49" t="inlineStr">
        <is>
          <t>NT|2000+</t>
        </is>
      </c>
      <c r="B49" t="n">
        <v>0.001</v>
      </c>
    </row>
    <row r="50">
      <c r="A50" t="inlineStr">
        <is>
          <t>NU|pre-1960</t>
        </is>
      </c>
      <c r="B50" t="n">
        <v>0.002</v>
      </c>
    </row>
    <row r="51">
      <c r="A51" t="inlineStr">
        <is>
          <t>NU|1960-1983</t>
        </is>
      </c>
      <c r="B51" t="n">
        <v>0.002</v>
      </c>
    </row>
    <row r="52">
      <c r="A52" t="inlineStr">
        <is>
          <t>NU|1984-1999</t>
        </is>
      </c>
      <c r="B52" t="n">
        <v>0.001</v>
      </c>
    </row>
    <row r="53">
      <c r="A53" t="inlineStr">
        <is>
          <t>NU|2000+</t>
        </is>
      </c>
      <c r="B53" t="n">
        <v>0.001</v>
      </c>
    </row>
    <row r="54">
      <c r="A54" t="inlineStr">
        <is>
          <t>CO|pre-1960</t>
        </is>
      </c>
      <c r="B54" t="n">
        <v>0.042</v>
      </c>
    </row>
    <row r="55">
      <c r="A55" t="inlineStr">
        <is>
          <t>CO|1960-1983</t>
        </is>
      </c>
      <c r="B55" t="n">
        <v>0.029</v>
      </c>
    </row>
    <row r="56">
      <c r="A56" t="inlineStr">
        <is>
          <t>CO|1984-1999</t>
        </is>
      </c>
      <c r="B56" t="n">
        <v>0.027</v>
      </c>
    </row>
    <row r="57">
      <c r="A57" t="inlineStr">
        <is>
          <t>CO|2000+</t>
        </is>
      </c>
      <c r="B57" t="n">
        <v>0.024</v>
      </c>
    </row>
    <row r="58">
      <c r="A58" t="inlineStr">
        <is>
          <t>MI|pre-1960</t>
        </is>
      </c>
      <c r="B58" t="n">
        <v>0.043</v>
      </c>
    </row>
    <row r="59">
      <c r="A59" t="inlineStr">
        <is>
          <t>MI|1960-1983</t>
        </is>
      </c>
      <c r="B59" t="n">
        <v>0.036</v>
      </c>
    </row>
    <row r="60">
      <c r="A60" t="inlineStr">
        <is>
          <t>MI|1984-1999</t>
        </is>
      </c>
      <c r="B60" t="n">
        <v>0.02</v>
      </c>
    </row>
    <row r="61">
      <c r="A61" t="inlineStr">
        <is>
          <t>MI|2000+</t>
        </is>
      </c>
      <c r="B61" t="n">
        <v>0.018</v>
      </c>
    </row>
    <row r="62">
      <c r="A62" t="inlineStr">
        <is>
          <t>NY|pre-1960</t>
        </is>
      </c>
      <c r="B62" t="n">
        <v>0.063</v>
      </c>
    </row>
    <row r="63">
      <c r="A63" t="inlineStr">
        <is>
          <t>NY|1960-1983</t>
        </is>
      </c>
      <c r="B63" t="n">
        <v>0.06</v>
      </c>
    </row>
    <row r="64">
      <c r="A64" t="inlineStr">
        <is>
          <t>NY|1984-1999</t>
        </is>
      </c>
      <c r="B64" t="n">
        <v>0.041</v>
      </c>
    </row>
    <row r="65">
      <c r="A65" t="inlineStr">
        <is>
          <t>NY|2000+</t>
        </is>
      </c>
      <c r="B65" t="n">
        <v>0.029</v>
      </c>
    </row>
    <row r="66">
      <c r="A66" t="inlineStr">
        <is>
          <t>WA|pre-1960</t>
        </is>
      </c>
      <c r="B66" t="n">
        <v>0.05</v>
      </c>
    </row>
    <row r="67">
      <c r="A67" t="inlineStr">
        <is>
          <t>WA|1960-1983</t>
        </is>
      </c>
      <c r="B67" t="n">
        <v>0.033</v>
      </c>
    </row>
    <row r="68">
      <c r="A68" t="inlineStr">
        <is>
          <t>WA|1984-1999</t>
        </is>
      </c>
      <c r="B68" t="n">
        <v>0.022</v>
      </c>
    </row>
    <row r="69">
      <c r="A69" t="inlineStr">
        <is>
          <t>WA|2000+</t>
        </is>
      </c>
      <c r="B69" t="n">
        <v>0.019</v>
      </c>
    </row>
    <row r="70">
      <c r="A70" t="inlineStr">
        <is>
          <t>AL|pre-1960</t>
        </is>
      </c>
      <c r="B70" t="n">
        <v>0.144</v>
      </c>
    </row>
    <row r="71">
      <c r="A71" t="inlineStr">
        <is>
          <t>AL|1960-1983</t>
        </is>
      </c>
      <c r="B71" t="n">
        <v>0.111</v>
      </c>
    </row>
    <row r="72">
      <c r="A72" t="inlineStr">
        <is>
          <t>AL|1984-1999</t>
        </is>
      </c>
      <c r="B72" t="n">
        <v>0.081</v>
      </c>
    </row>
    <row r="73">
      <c r="A73" t="inlineStr">
        <is>
          <t>AL|2000+</t>
        </is>
      </c>
      <c r="B73" t="n">
        <v>0.066</v>
      </c>
    </row>
    <row r="74">
      <c r="A74" t="inlineStr">
        <is>
          <t>AK|pre-1960</t>
        </is>
      </c>
      <c r="B74" t="n">
        <v>0.013</v>
      </c>
    </row>
    <row r="75">
      <c r="A75" t="inlineStr">
        <is>
          <t>AK|1960-1983</t>
        </is>
      </c>
      <c r="B75" t="n">
        <v>0.01</v>
      </c>
    </row>
    <row r="76">
      <c r="A76" t="inlineStr">
        <is>
          <t>AK|1984-1999</t>
        </is>
      </c>
      <c r="B76" t="n">
        <v>0.007</v>
      </c>
    </row>
    <row r="77">
      <c r="A77" t="inlineStr">
        <is>
          <t>AK|2000+</t>
        </is>
      </c>
      <c r="B77" t="n">
        <v>0.006</v>
      </c>
    </row>
    <row r="78">
      <c r="A78" t="inlineStr">
        <is>
          <t>AZ|pre-1960</t>
        </is>
      </c>
      <c r="B78" t="n">
        <v>0.123</v>
      </c>
    </row>
    <row r="79">
      <c r="A79" t="inlineStr">
        <is>
          <t>AZ|1960-1983</t>
        </is>
      </c>
      <c r="B79" t="n">
        <v>0.095</v>
      </c>
    </row>
    <row r="80">
      <c r="A80" t="inlineStr">
        <is>
          <t>AZ|1984-1999</t>
        </is>
      </c>
      <c r="B80" t="n">
        <v>0.06900000000000001</v>
      </c>
    </row>
    <row r="81">
      <c r="A81" t="inlineStr">
        <is>
          <t>AZ|2000+</t>
        </is>
      </c>
      <c r="B81" t="n">
        <v>0.057</v>
      </c>
    </row>
    <row r="82">
      <c r="A82" t="inlineStr">
        <is>
          <t>AR|pre-1960</t>
        </is>
      </c>
      <c r="B82" t="n">
        <v>0.129</v>
      </c>
    </row>
    <row r="83">
      <c r="A83" t="inlineStr">
        <is>
          <t>AR|1960-1983</t>
        </is>
      </c>
      <c r="B83" t="n">
        <v>0.099</v>
      </c>
    </row>
    <row r="84">
      <c r="A84" t="inlineStr">
        <is>
          <t>AR|1984-1999</t>
        </is>
      </c>
      <c r="B84" t="n">
        <v>0.07199999999999999</v>
      </c>
    </row>
    <row r="85">
      <c r="A85" t="inlineStr">
        <is>
          <t>AR|2000+</t>
        </is>
      </c>
      <c r="B85" t="n">
        <v>0.059</v>
      </c>
    </row>
    <row r="86">
      <c r="A86" t="inlineStr">
        <is>
          <t>CA|pre-1960</t>
        </is>
      </c>
      <c r="B86" t="n">
        <v>0.049</v>
      </c>
    </row>
    <row r="87">
      <c r="A87" t="inlineStr">
        <is>
          <t>CA|1960-1983</t>
        </is>
      </c>
      <c r="B87" t="n">
        <v>0.038</v>
      </c>
    </row>
    <row r="88">
      <c r="A88" t="inlineStr">
        <is>
          <t>CA|1984-1999</t>
        </is>
      </c>
      <c r="B88" t="n">
        <v>0.027</v>
      </c>
    </row>
    <row r="89">
      <c r="A89" t="inlineStr">
        <is>
          <t>CA|2000+</t>
        </is>
      </c>
      <c r="B89" t="n">
        <v>0.023</v>
      </c>
    </row>
    <row r="90">
      <c r="A90" t="inlineStr">
        <is>
          <t>CT|pre-1960</t>
        </is>
      </c>
      <c r="B90" t="n">
        <v>0.056</v>
      </c>
    </row>
    <row r="91">
      <c r="A91" t="inlineStr">
        <is>
          <t>CT|1960-1983</t>
        </is>
      </c>
      <c r="B91" t="n">
        <v>0.043</v>
      </c>
    </row>
    <row r="92">
      <c r="A92" t="inlineStr">
        <is>
          <t>CT|1984-1999</t>
        </is>
      </c>
      <c r="B92" t="n">
        <v>0.031</v>
      </c>
    </row>
    <row r="93">
      <c r="A93" t="inlineStr">
        <is>
          <t>CT|2000+</t>
        </is>
      </c>
      <c r="B93" t="n">
        <v>0.026</v>
      </c>
    </row>
    <row r="94">
      <c r="A94" t="inlineStr">
        <is>
          <t>DE|pre-1960</t>
        </is>
      </c>
      <c r="B94" t="n">
        <v>0.07199999999999999</v>
      </c>
    </row>
    <row r="95">
      <c r="A95" t="inlineStr">
        <is>
          <t>DE|1960-1983</t>
        </is>
      </c>
      <c r="B95" t="n">
        <v>0.055</v>
      </c>
    </row>
    <row r="96">
      <c r="A96" t="inlineStr">
        <is>
          <t>DE|1984-1999</t>
        </is>
      </c>
      <c r="B96" t="n">
        <v>0.04</v>
      </c>
    </row>
    <row r="97">
      <c r="A97" t="inlineStr">
        <is>
          <t>DE|2000+</t>
        </is>
      </c>
      <c r="B97" t="n">
        <v>0.033</v>
      </c>
    </row>
    <row r="98">
      <c r="A98" t="inlineStr">
        <is>
          <t>FL|pre-1960</t>
        </is>
      </c>
      <c r="B98" t="n">
        <v>0.211</v>
      </c>
    </row>
    <row r="99">
      <c r="A99" t="inlineStr">
        <is>
          <t>FL|1960-1983</t>
        </is>
      </c>
      <c r="B99" t="n">
        <v>0.162</v>
      </c>
    </row>
    <row r="100">
      <c r="A100" t="inlineStr">
        <is>
          <t>FL|1984-1999</t>
        </is>
      </c>
      <c r="B100" t="n">
        <v>0.118</v>
      </c>
    </row>
    <row r="101">
      <c r="A101" t="inlineStr">
        <is>
          <t>FL|2000+</t>
        </is>
      </c>
      <c r="B101" t="n">
        <v>0.097</v>
      </c>
    </row>
    <row r="102">
      <c r="A102" t="inlineStr">
        <is>
          <t>GA|pre-1960</t>
        </is>
      </c>
      <c r="B102" t="n">
        <v>0.139</v>
      </c>
    </row>
    <row r="103">
      <c r="A103" t="inlineStr">
        <is>
          <t>GA|1960-1983</t>
        </is>
      </c>
      <c r="B103" t="n">
        <v>0.107</v>
      </c>
    </row>
    <row r="104">
      <c r="A104" t="inlineStr">
        <is>
          <t>GA|1984-1999</t>
        </is>
      </c>
      <c r="B104" t="n">
        <v>0.078</v>
      </c>
    </row>
    <row r="105">
      <c r="A105" t="inlineStr">
        <is>
          <t>GA|2000+</t>
        </is>
      </c>
      <c r="B105" t="n">
        <v>0.064</v>
      </c>
    </row>
    <row r="106">
      <c r="A106" t="inlineStr">
        <is>
          <t>HI|pre-1960</t>
        </is>
      </c>
      <c r="B106" t="n">
        <v>0.191</v>
      </c>
    </row>
    <row r="107">
      <c r="A107" t="inlineStr">
        <is>
          <t>HI|1960-1983</t>
        </is>
      </c>
      <c r="B107" t="n">
        <v>0.147</v>
      </c>
    </row>
    <row r="108">
      <c r="A108" t="inlineStr">
        <is>
          <t>HI|1984-1999</t>
        </is>
      </c>
      <c r="B108" t="n">
        <v>0.107</v>
      </c>
    </row>
    <row r="109">
      <c r="A109" t="inlineStr">
        <is>
          <t>HI|2000+</t>
        </is>
      </c>
      <c r="B109" t="n">
        <v>0.08799999999999999</v>
      </c>
    </row>
    <row r="110">
      <c r="A110" t="inlineStr">
        <is>
          <t>ID|pre-1960</t>
        </is>
      </c>
      <c r="B110" t="n">
        <v>0.046</v>
      </c>
    </row>
    <row r="111">
      <c r="A111" t="inlineStr">
        <is>
          <t>ID|1960-1983</t>
        </is>
      </c>
      <c r="B111" t="n">
        <v>0.035</v>
      </c>
    </row>
    <row r="112">
      <c r="A112" t="inlineStr">
        <is>
          <t>ID|1984-1999</t>
        </is>
      </c>
      <c r="B112" t="n">
        <v>0.026</v>
      </c>
    </row>
    <row r="113">
      <c r="A113" t="inlineStr">
        <is>
          <t>ID|2000+</t>
        </is>
      </c>
      <c r="B113" t="n">
        <v>0.021</v>
      </c>
    </row>
    <row r="114">
      <c r="A114" t="inlineStr">
        <is>
          <t>IL|pre-1960</t>
        </is>
      </c>
      <c r="B114" t="n">
        <v>0.083</v>
      </c>
    </row>
    <row r="115">
      <c r="A115" t="inlineStr">
        <is>
          <t>IL|1960-1983</t>
        </is>
      </c>
      <c r="B115" t="n">
        <v>0.064</v>
      </c>
    </row>
    <row r="116">
      <c r="A116" t="inlineStr">
        <is>
          <t>IL|1984-1999</t>
        </is>
      </c>
      <c r="B116" t="n">
        <v>0.046</v>
      </c>
    </row>
    <row r="117">
      <c r="A117" t="inlineStr">
        <is>
          <t>IL|2000+</t>
        </is>
      </c>
      <c r="B117" t="n">
        <v>0.038</v>
      </c>
    </row>
    <row r="118">
      <c r="A118" t="inlineStr">
        <is>
          <t>IN|pre-1960</t>
        </is>
      </c>
      <c r="B118" t="n">
        <v>0.077</v>
      </c>
    </row>
    <row r="119">
      <c r="A119" t="inlineStr">
        <is>
          <t>IN|1960-1983</t>
        </is>
      </c>
      <c r="B119" t="n">
        <v>0.059</v>
      </c>
    </row>
    <row r="120">
      <c r="A120" t="inlineStr">
        <is>
          <t>IN|1984-1999</t>
        </is>
      </c>
      <c r="B120" t="n">
        <v>0.043</v>
      </c>
    </row>
    <row r="121">
      <c r="A121" t="inlineStr">
        <is>
          <t>IN|2000+</t>
        </is>
      </c>
      <c r="B121" t="n">
        <v>0.035</v>
      </c>
    </row>
    <row r="122">
      <c r="A122" t="inlineStr">
        <is>
          <t>IA|pre-1960</t>
        </is>
      </c>
      <c r="B122" t="n">
        <v>0.074</v>
      </c>
    </row>
    <row r="123">
      <c r="A123" t="inlineStr">
        <is>
          <t>IA|1960-1983</t>
        </is>
      </c>
      <c r="B123" t="n">
        <v>0.057</v>
      </c>
    </row>
    <row r="124">
      <c r="A124" t="inlineStr">
        <is>
          <t>IA|1984-1999</t>
        </is>
      </c>
      <c r="B124" t="n">
        <v>0.041</v>
      </c>
    </row>
    <row r="125">
      <c r="A125" t="inlineStr">
        <is>
          <t>IA|2000+</t>
        </is>
      </c>
      <c r="B125" t="n">
        <v>0.034</v>
      </c>
    </row>
    <row r="126">
      <c r="A126" t="inlineStr">
        <is>
          <t>KS|pre-1960</t>
        </is>
      </c>
      <c r="B126" t="n">
        <v>0.095</v>
      </c>
    </row>
    <row r="127">
      <c r="A127" t="inlineStr">
        <is>
          <t>KS|1960-1983</t>
        </is>
      </c>
      <c r="B127" t="n">
        <v>0.073</v>
      </c>
    </row>
    <row r="128">
      <c r="A128" t="inlineStr">
        <is>
          <t>KS|1984-1999</t>
        </is>
      </c>
      <c r="B128" t="n">
        <v>0.053</v>
      </c>
    </row>
    <row r="129">
      <c r="A129" t="inlineStr">
        <is>
          <t>KS|2000+</t>
        </is>
      </c>
      <c r="B129" t="n">
        <v>0.044</v>
      </c>
    </row>
    <row r="130">
      <c r="A130" t="inlineStr">
        <is>
          <t>KY|pre-1960</t>
        </is>
      </c>
      <c r="B130" t="n">
        <v>0.099</v>
      </c>
    </row>
    <row r="131">
      <c r="A131" t="inlineStr">
        <is>
          <t>KY|1960-1983</t>
        </is>
      </c>
      <c r="B131" t="n">
        <v>0.076</v>
      </c>
    </row>
    <row r="132">
      <c r="A132" t="inlineStr">
        <is>
          <t>KY|1984-1999</t>
        </is>
      </c>
      <c r="B132" t="n">
        <v>0.055</v>
      </c>
    </row>
    <row r="133">
      <c r="A133" t="inlineStr">
        <is>
          <t>KY|2000+</t>
        </is>
      </c>
      <c r="B133" t="n">
        <v>0.046</v>
      </c>
    </row>
    <row r="134">
      <c r="A134" t="inlineStr">
        <is>
          <t>LA|pre-1960</t>
        </is>
      </c>
      <c r="B134" t="n">
        <v>0.171</v>
      </c>
    </row>
    <row r="135">
      <c r="A135" t="inlineStr">
        <is>
          <t>LA|1960-1983</t>
        </is>
      </c>
      <c r="B135" t="n">
        <v>0.132</v>
      </c>
    </row>
    <row r="136">
      <c r="A136" t="inlineStr">
        <is>
          <t>LA|1984-1999</t>
        </is>
      </c>
      <c r="B136" t="n">
        <v>0.096</v>
      </c>
    </row>
    <row r="137">
      <c r="A137" t="inlineStr">
        <is>
          <t>LA|2000+</t>
        </is>
      </c>
      <c r="B137" t="n">
        <v>0.079</v>
      </c>
    </row>
    <row r="138">
      <c r="A138" t="inlineStr">
        <is>
          <t>ME|pre-1960</t>
        </is>
      </c>
      <c r="B138" t="n">
        <v>0.041</v>
      </c>
    </row>
    <row r="139">
      <c r="A139" t="inlineStr">
        <is>
          <t>ME|1960-1983</t>
        </is>
      </c>
      <c r="B139" t="n">
        <v>0.032</v>
      </c>
    </row>
    <row r="140">
      <c r="A140" t="inlineStr">
        <is>
          <t>ME|1984-1999</t>
        </is>
      </c>
      <c r="B140" t="n">
        <v>0.023</v>
      </c>
    </row>
    <row r="141">
      <c r="A141" t="inlineStr">
        <is>
          <t>ME|2000+</t>
        </is>
      </c>
      <c r="B141" t="n">
        <v>0.019</v>
      </c>
    </row>
    <row r="142">
      <c r="A142" t="inlineStr">
        <is>
          <t>MD|pre-1960</t>
        </is>
      </c>
      <c r="B142" t="n">
        <v>0.081</v>
      </c>
    </row>
    <row r="143">
      <c r="A143" t="inlineStr">
        <is>
          <t>MD|1960-1983</t>
        </is>
      </c>
      <c r="B143" t="n">
        <v>0.062</v>
      </c>
    </row>
    <row r="144">
      <c r="A144" t="inlineStr">
        <is>
          <t>MD|1984-1999</t>
        </is>
      </c>
      <c r="B144" t="n">
        <v>0.045</v>
      </c>
    </row>
    <row r="145">
      <c r="A145" t="inlineStr">
        <is>
          <t>MD|2000+</t>
        </is>
      </c>
      <c r="B145" t="n">
        <v>0.037</v>
      </c>
    </row>
    <row r="146">
      <c r="A146" t="inlineStr">
        <is>
          <t>MA|pre-1960</t>
        </is>
      </c>
      <c r="B146" t="n">
        <v>0.055</v>
      </c>
    </row>
    <row r="147">
      <c r="A147" t="inlineStr">
        <is>
          <t>MA|1960-1983</t>
        </is>
      </c>
      <c r="B147" t="n">
        <v>0.042</v>
      </c>
    </row>
    <row r="148">
      <c r="A148" t="inlineStr">
        <is>
          <t>MA|1984-1999</t>
        </is>
      </c>
      <c r="B148" t="n">
        <v>0.031</v>
      </c>
    </row>
    <row r="149">
      <c r="A149" t="inlineStr">
        <is>
          <t>MA|2000+</t>
        </is>
      </c>
      <c r="B149" t="n">
        <v>0.025</v>
      </c>
    </row>
    <row r="150">
      <c r="A150" t="inlineStr">
        <is>
          <t>MN|pre-1960</t>
        </is>
      </c>
      <c r="B150" t="n">
        <v>0.054</v>
      </c>
    </row>
    <row r="151">
      <c r="A151" t="inlineStr">
        <is>
          <t>MN|1960-1983</t>
        </is>
      </c>
      <c r="B151" t="n">
        <v>0.042</v>
      </c>
    </row>
    <row r="152">
      <c r="A152" t="inlineStr">
        <is>
          <t>MN|1984-1999</t>
        </is>
      </c>
      <c r="B152" t="n">
        <v>0.03</v>
      </c>
    </row>
    <row r="153">
      <c r="A153" t="inlineStr">
        <is>
          <t>MN|2000+</t>
        </is>
      </c>
      <c r="B153" t="n">
        <v>0.025</v>
      </c>
    </row>
    <row r="154">
      <c r="A154" t="inlineStr">
        <is>
          <t>MS|pre-1960</t>
        </is>
      </c>
      <c r="B154" t="n">
        <v>0.151</v>
      </c>
    </row>
    <row r="155">
      <c r="A155" t="inlineStr">
        <is>
          <t>MS|1960-1983</t>
        </is>
      </c>
      <c r="B155" t="n">
        <v>0.116</v>
      </c>
    </row>
    <row r="156">
      <c r="A156" t="inlineStr">
        <is>
          <t>MS|1984-1999</t>
        </is>
      </c>
      <c r="B156" t="n">
        <v>0.08500000000000001</v>
      </c>
    </row>
    <row r="157">
      <c r="A157" t="inlineStr">
        <is>
          <t>MS|2000+</t>
        </is>
      </c>
      <c r="B157" t="n">
        <v>0.06900000000000001</v>
      </c>
    </row>
    <row r="158">
      <c r="A158" t="inlineStr">
        <is>
          <t>MO|pre-1960</t>
        </is>
      </c>
      <c r="B158" t="n">
        <v>0.098</v>
      </c>
    </row>
    <row r="159">
      <c r="A159" t="inlineStr">
        <is>
          <t>MO|1960-1983</t>
        </is>
      </c>
      <c r="B159" t="n">
        <v>0.075</v>
      </c>
    </row>
    <row r="160">
      <c r="A160" t="inlineStr">
        <is>
          <t>MO|1984-1999</t>
        </is>
      </c>
      <c r="B160" t="n">
        <v>0.055</v>
      </c>
    </row>
    <row r="161">
      <c r="A161" t="inlineStr">
        <is>
          <t>MO|2000+</t>
        </is>
      </c>
      <c r="B161" t="n">
        <v>0.045</v>
      </c>
    </row>
    <row r="162">
      <c r="A162" t="inlineStr">
        <is>
          <t>MT|pre-1960</t>
        </is>
      </c>
      <c r="B162" t="n">
        <v>0.031</v>
      </c>
    </row>
    <row r="163">
      <c r="A163" t="inlineStr">
        <is>
          <t>MT|1960-1983</t>
        </is>
      </c>
      <c r="B163" t="n">
        <v>0.024</v>
      </c>
    </row>
    <row r="164">
      <c r="A164" t="inlineStr">
        <is>
          <t>MT|1984-1999</t>
        </is>
      </c>
      <c r="B164" t="n">
        <v>0.017</v>
      </c>
    </row>
    <row r="165">
      <c r="A165" t="inlineStr">
        <is>
          <t>MT|2000+</t>
        </is>
      </c>
      <c r="B165" t="n">
        <v>0.014</v>
      </c>
    </row>
    <row r="166">
      <c r="A166" t="inlineStr">
        <is>
          <t>NE|pre-1960</t>
        </is>
      </c>
      <c r="B166" t="n">
        <v>0.08599999999999999</v>
      </c>
    </row>
    <row r="167">
      <c r="A167" t="inlineStr">
        <is>
          <t>NE|1960-1983</t>
        </is>
      </c>
      <c r="B167" t="n">
        <v>0.066</v>
      </c>
    </row>
    <row r="168">
      <c r="A168" t="inlineStr">
        <is>
          <t>NE|1984-1999</t>
        </is>
      </c>
      <c r="B168" t="n">
        <v>0.048</v>
      </c>
    </row>
    <row r="169">
      <c r="A169" t="inlineStr">
        <is>
          <t>NE|2000+</t>
        </is>
      </c>
      <c r="B169" t="n">
        <v>0.04</v>
      </c>
    </row>
    <row r="170">
      <c r="A170" t="inlineStr">
        <is>
          <t>NV|pre-1960</t>
        </is>
      </c>
      <c r="B170" t="n">
        <v>0.077</v>
      </c>
    </row>
    <row r="171">
      <c r="A171" t="inlineStr">
        <is>
          <t>NV|1960-1983</t>
        </is>
      </c>
      <c r="B171" t="n">
        <v>0.059</v>
      </c>
    </row>
    <row r="172">
      <c r="A172" t="inlineStr">
        <is>
          <t>NV|1984-1999</t>
        </is>
      </c>
      <c r="B172" t="n">
        <v>0.043</v>
      </c>
    </row>
    <row r="173">
      <c r="A173" t="inlineStr">
        <is>
          <t>NV|2000+</t>
        </is>
      </c>
      <c r="B173" t="n">
        <v>0.035</v>
      </c>
    </row>
    <row r="174">
      <c r="A174" t="inlineStr">
        <is>
          <t>NH|pre-1960</t>
        </is>
      </c>
      <c r="B174" t="n">
        <v>0.044</v>
      </c>
    </row>
    <row r="175">
      <c r="A175" t="inlineStr">
        <is>
          <t>NH|1960-1983</t>
        </is>
      </c>
      <c r="B175" t="n">
        <v>0.034</v>
      </c>
    </row>
    <row r="176">
      <c r="A176" t="inlineStr">
        <is>
          <t>NH|1984-1999</t>
        </is>
      </c>
      <c r="B176" t="n">
        <v>0.025</v>
      </c>
    </row>
    <row r="177">
      <c r="A177" t="inlineStr">
        <is>
          <t>NH|2000+</t>
        </is>
      </c>
      <c r="B177" t="n">
        <v>0.02</v>
      </c>
    </row>
    <row r="178">
      <c r="A178" t="inlineStr">
        <is>
          <t>NJ|pre-1960</t>
        </is>
      </c>
      <c r="B178" t="n">
        <v>0.065</v>
      </c>
    </row>
    <row r="179">
      <c r="A179" t="inlineStr">
        <is>
          <t>NJ|1960-1983</t>
        </is>
      </c>
      <c r="B179" t="n">
        <v>0.05</v>
      </c>
    </row>
    <row r="180">
      <c r="A180" t="inlineStr">
        <is>
          <t>NJ|1984-1999</t>
        </is>
      </c>
      <c r="B180" t="n">
        <v>0.036</v>
      </c>
    </row>
    <row r="181">
      <c r="A181" t="inlineStr">
        <is>
          <t>NJ|2000+</t>
        </is>
      </c>
      <c r="B181" t="n">
        <v>0.03</v>
      </c>
    </row>
    <row r="182">
      <c r="A182" t="inlineStr">
        <is>
          <t>NM|pre-1960</t>
        </is>
      </c>
      <c r="B182" t="n">
        <v>0.055</v>
      </c>
    </row>
    <row r="183">
      <c r="A183" t="inlineStr">
        <is>
          <t>NM|1960-1983</t>
        </is>
      </c>
      <c r="B183" t="n">
        <v>0.042</v>
      </c>
    </row>
    <row r="184">
      <c r="A184" t="inlineStr">
        <is>
          <t>NM|1984-1999</t>
        </is>
      </c>
      <c r="B184" t="n">
        <v>0.031</v>
      </c>
    </row>
    <row r="185">
      <c r="A185" t="inlineStr">
        <is>
          <t>NM|2000+</t>
        </is>
      </c>
      <c r="B185" t="n">
        <v>0.025</v>
      </c>
    </row>
    <row r="186">
      <c r="A186" t="inlineStr">
        <is>
          <t>NC|pre-1960</t>
        </is>
      </c>
      <c r="B186" t="n">
        <v>0.114</v>
      </c>
    </row>
    <row r="187">
      <c r="A187" t="inlineStr">
        <is>
          <t>NC|1960-1983</t>
        </is>
      </c>
      <c r="B187" t="n">
        <v>0.08799999999999999</v>
      </c>
    </row>
    <row r="188">
      <c r="A188" t="inlineStr">
        <is>
          <t>NC|1984-1999</t>
        </is>
      </c>
      <c r="B188" t="n">
        <v>0.064</v>
      </c>
    </row>
    <row r="189">
      <c r="A189" t="inlineStr">
        <is>
          <t>NC|2000+</t>
        </is>
      </c>
      <c r="B189" t="n">
        <v>0.052</v>
      </c>
    </row>
    <row r="190">
      <c r="A190" t="inlineStr">
        <is>
          <t>ND|pre-1960</t>
        </is>
      </c>
      <c r="B190" t="n">
        <v>0.044</v>
      </c>
    </row>
    <row r="191">
      <c r="A191" t="inlineStr">
        <is>
          <t>ND|1960-1983</t>
        </is>
      </c>
      <c r="B191" t="n">
        <v>0.034</v>
      </c>
    </row>
    <row r="192">
      <c r="A192" t="inlineStr">
        <is>
          <t>ND|1984-1999</t>
        </is>
      </c>
      <c r="B192" t="n">
        <v>0.025</v>
      </c>
    </row>
    <row r="193">
      <c r="A193" t="inlineStr">
        <is>
          <t>ND|2000+</t>
        </is>
      </c>
      <c r="B193" t="n">
        <v>0.02</v>
      </c>
    </row>
    <row r="194">
      <c r="A194" t="inlineStr">
        <is>
          <t>OH|pre-1960</t>
        </is>
      </c>
      <c r="B194" t="n">
        <v>0.073</v>
      </c>
    </row>
    <row r="195">
      <c r="A195" t="inlineStr">
        <is>
          <t>OH|1960-1983</t>
        </is>
      </c>
      <c r="B195" t="n">
        <v>0.056</v>
      </c>
    </row>
    <row r="196">
      <c r="A196" t="inlineStr">
        <is>
          <t>OH|1984-1999</t>
        </is>
      </c>
      <c r="B196" t="n">
        <v>0.041</v>
      </c>
    </row>
    <row r="197">
      <c r="A197" t="inlineStr">
        <is>
          <t>OH|2000+</t>
        </is>
      </c>
      <c r="B197" t="n">
        <v>0.034</v>
      </c>
    </row>
    <row r="198">
      <c r="A198" t="inlineStr">
        <is>
          <t>OK|pre-1960</t>
        </is>
      </c>
      <c r="B198" t="n">
        <v>0.139</v>
      </c>
    </row>
    <row r="199">
      <c r="A199" t="inlineStr">
        <is>
          <t>OK|1960-1983</t>
        </is>
      </c>
      <c r="B199" t="n">
        <v>0.107</v>
      </c>
    </row>
    <row r="200">
      <c r="A200" t="inlineStr">
        <is>
          <t>OK|1984-1999</t>
        </is>
      </c>
      <c r="B200" t="n">
        <v>0.078</v>
      </c>
    </row>
    <row r="201">
      <c r="A201" t="inlineStr">
        <is>
          <t>OK|2000+</t>
        </is>
      </c>
      <c r="B201" t="n">
        <v>0.064</v>
      </c>
    </row>
    <row r="202">
      <c r="A202" t="inlineStr">
        <is>
          <t>OR|pre-1960</t>
        </is>
      </c>
      <c r="B202" t="n">
        <v>0.053</v>
      </c>
    </row>
    <row r="203">
      <c r="A203" t="inlineStr">
        <is>
          <t>OR|1960-1983</t>
        </is>
      </c>
      <c r="B203" t="n">
        <v>0.041</v>
      </c>
    </row>
    <row r="204">
      <c r="A204" t="inlineStr">
        <is>
          <t>OR|1984-1999</t>
        </is>
      </c>
      <c r="B204" t="n">
        <v>0.03</v>
      </c>
    </row>
    <row r="205">
      <c r="A205" t="inlineStr">
        <is>
          <t>OR|2000+</t>
        </is>
      </c>
      <c r="B205" t="n">
        <v>0.024</v>
      </c>
    </row>
    <row r="206">
      <c r="A206" t="inlineStr">
        <is>
          <t>PA|pre-1960</t>
        </is>
      </c>
      <c r="B206" t="n">
        <v>0.068</v>
      </c>
    </row>
    <row r="207">
      <c r="A207" t="inlineStr">
        <is>
          <t>PA|1960-1983</t>
        </is>
      </c>
      <c r="B207" t="n">
        <v>0.052</v>
      </c>
    </row>
    <row r="208">
      <c r="A208" t="inlineStr">
        <is>
          <t>PA|1984-1999</t>
        </is>
      </c>
      <c r="B208" t="n">
        <v>0.038</v>
      </c>
    </row>
    <row r="209">
      <c r="A209" t="inlineStr">
        <is>
          <t>PA|2000+</t>
        </is>
      </c>
      <c r="B209" t="n">
        <v>0.031</v>
      </c>
    </row>
    <row r="210">
      <c r="A210" t="inlineStr">
        <is>
          <t>RI|pre-1960</t>
        </is>
      </c>
      <c r="B210" t="n">
        <v>0.053</v>
      </c>
    </row>
    <row r="211">
      <c r="A211" t="inlineStr">
        <is>
          <t>RI|1960-1983</t>
        </is>
      </c>
      <c r="B211" t="n">
        <v>0.041</v>
      </c>
    </row>
    <row r="212">
      <c r="A212" t="inlineStr">
        <is>
          <t>RI|1984-1999</t>
        </is>
      </c>
      <c r="B212" t="n">
        <v>0.03</v>
      </c>
    </row>
    <row r="213">
      <c r="A213" t="inlineStr">
        <is>
          <t>RI|2000+</t>
        </is>
      </c>
      <c r="B213" t="n">
        <v>0.024</v>
      </c>
    </row>
    <row r="214">
      <c r="A214" t="inlineStr">
        <is>
          <t>SC|pre-1960</t>
        </is>
      </c>
      <c r="B214" t="n">
        <v>0.132</v>
      </c>
    </row>
    <row r="215">
      <c r="A215" t="inlineStr">
        <is>
          <t>SC|1960-1983</t>
        </is>
      </c>
      <c r="B215" t="n">
        <v>0.102</v>
      </c>
    </row>
    <row r="216">
      <c r="A216" t="inlineStr">
        <is>
          <t>SC|1984-1999</t>
        </is>
      </c>
      <c r="B216" t="n">
        <v>0.074</v>
      </c>
    </row>
    <row r="217">
      <c r="A217" t="inlineStr">
        <is>
          <t>SC|2000+</t>
        </is>
      </c>
      <c r="B217" t="n">
        <v>0.061</v>
      </c>
    </row>
    <row r="218">
      <c r="A218" t="inlineStr">
        <is>
          <t>SD|pre-1960</t>
        </is>
      </c>
      <c r="B218" t="n">
        <v>0.05</v>
      </c>
    </row>
    <row r="219">
      <c r="A219" t="inlineStr">
        <is>
          <t>SD|1960-1983</t>
        </is>
      </c>
      <c r="B219" t="n">
        <v>0.039</v>
      </c>
    </row>
    <row r="220">
      <c r="A220" t="inlineStr">
        <is>
          <t>SD|1984-1999</t>
        </is>
      </c>
      <c r="B220" t="n">
        <v>0.028</v>
      </c>
    </row>
    <row r="221">
      <c r="A221" t="inlineStr">
        <is>
          <t>SD|2000+</t>
        </is>
      </c>
      <c r="B221" t="n">
        <v>0.023</v>
      </c>
    </row>
    <row r="222">
      <c r="A222" t="inlineStr">
        <is>
          <t>TN|pre-1960</t>
        </is>
      </c>
      <c r="B222" t="n">
        <v>0.111</v>
      </c>
    </row>
    <row r="223">
      <c r="A223" t="inlineStr">
        <is>
          <t>TN|1960-1983</t>
        </is>
      </c>
      <c r="B223" t="n">
        <v>0.08500000000000001</v>
      </c>
    </row>
    <row r="224">
      <c r="A224" t="inlineStr">
        <is>
          <t>TN|1984-1999</t>
        </is>
      </c>
      <c r="B224" t="n">
        <v>0.062</v>
      </c>
    </row>
    <row r="225">
      <c r="A225" t="inlineStr">
        <is>
          <t>TN|2000+</t>
        </is>
      </c>
      <c r="B225" t="n">
        <v>0.051</v>
      </c>
    </row>
    <row r="226">
      <c r="A226" t="inlineStr">
        <is>
          <t>TX|pre-1960</t>
        </is>
      </c>
      <c r="B226" t="n">
        <v>0.167</v>
      </c>
    </row>
    <row r="227">
      <c r="A227" t="inlineStr">
        <is>
          <t>TX|1960-1983</t>
        </is>
      </c>
      <c r="B227" t="n">
        <v>0.129</v>
      </c>
    </row>
    <row r="228">
      <c r="A228" t="inlineStr">
        <is>
          <t>TX|1984-1999</t>
        </is>
      </c>
      <c r="B228" t="n">
        <v>0.094</v>
      </c>
    </row>
    <row r="229">
      <c r="A229" t="inlineStr">
        <is>
          <t>TX|2000+</t>
        </is>
      </c>
      <c r="B229" t="n">
        <v>0.077</v>
      </c>
    </row>
    <row r="230">
      <c r="A230" t="inlineStr">
        <is>
          <t>UT|pre-1960</t>
        </is>
      </c>
      <c r="B230" t="n">
        <v>0.055</v>
      </c>
    </row>
    <row r="231">
      <c r="A231" t="inlineStr">
        <is>
          <t>UT|1960-1983</t>
        </is>
      </c>
      <c r="B231" t="n">
        <v>0.042</v>
      </c>
    </row>
    <row r="232">
      <c r="A232" t="inlineStr">
        <is>
          <t>UT|1984-1999</t>
        </is>
      </c>
      <c r="B232" t="n">
        <v>0.031</v>
      </c>
    </row>
    <row r="233">
      <c r="A233" t="inlineStr">
        <is>
          <t>UT|2000+</t>
        </is>
      </c>
      <c r="B233" t="n">
        <v>0.025</v>
      </c>
    </row>
    <row r="234">
      <c r="A234" t="inlineStr">
        <is>
          <t>VT|pre-1960</t>
        </is>
      </c>
      <c r="B234" t="n">
        <v>0.037</v>
      </c>
    </row>
    <row r="235">
      <c r="A235" t="inlineStr">
        <is>
          <t>VT|1960-1983</t>
        </is>
      </c>
      <c r="B235" t="n">
        <v>0.028</v>
      </c>
    </row>
    <row r="236">
      <c r="A236" t="inlineStr">
        <is>
          <t>VT|1984-1999</t>
        </is>
      </c>
      <c r="B236" t="n">
        <v>0.021</v>
      </c>
    </row>
    <row r="237">
      <c r="A237" t="inlineStr">
        <is>
          <t>VT|2000+</t>
        </is>
      </c>
      <c r="B237" t="n">
        <v>0.017</v>
      </c>
    </row>
    <row r="238">
      <c r="A238" t="inlineStr">
        <is>
          <t>VA|pre-1960</t>
        </is>
      </c>
      <c r="B238" t="n">
        <v>0.098</v>
      </c>
    </row>
    <row r="239">
      <c r="A239" t="inlineStr">
        <is>
          <t>VA|1960-1983</t>
        </is>
      </c>
      <c r="B239" t="n">
        <v>0.075</v>
      </c>
    </row>
    <row r="240">
      <c r="A240" t="inlineStr">
        <is>
          <t>VA|1984-1999</t>
        </is>
      </c>
      <c r="B240" t="n">
        <v>0.055</v>
      </c>
    </row>
    <row r="241">
      <c r="A241" t="inlineStr">
        <is>
          <t>VA|2000+</t>
        </is>
      </c>
      <c r="B241" t="n">
        <v>0.045</v>
      </c>
    </row>
    <row r="242">
      <c r="A242" t="inlineStr">
        <is>
          <t>WV|pre-1960</t>
        </is>
      </c>
      <c r="B242" t="n">
        <v>0.07099999999999999</v>
      </c>
    </row>
    <row r="243">
      <c r="A243" t="inlineStr">
        <is>
          <t>WV|1960-1983</t>
        </is>
      </c>
      <c r="B243" t="n">
        <v>0.055</v>
      </c>
    </row>
    <row r="244">
      <c r="A244" t="inlineStr">
        <is>
          <t>WV|1984-1999</t>
        </is>
      </c>
      <c r="B244" t="n">
        <v>0.04</v>
      </c>
    </row>
    <row r="245">
      <c r="A245" t="inlineStr">
        <is>
          <t>WV|2000+</t>
        </is>
      </c>
      <c r="B245" t="n">
        <v>0.033</v>
      </c>
    </row>
    <row r="246">
      <c r="A246" t="inlineStr">
        <is>
          <t>WI|pre-1960</t>
        </is>
      </c>
      <c r="B246" t="n">
        <v>0.059</v>
      </c>
    </row>
    <row r="247">
      <c r="A247" t="inlineStr">
        <is>
          <t>WI|1960-1983</t>
        </is>
      </c>
      <c r="B247" t="n">
        <v>0.045</v>
      </c>
    </row>
    <row r="248">
      <c r="A248" t="inlineStr">
        <is>
          <t>WI|1984-1999</t>
        </is>
      </c>
      <c r="B248" t="n">
        <v>0.033</v>
      </c>
    </row>
    <row r="249">
      <c r="A249" t="inlineStr">
        <is>
          <t>WI|2000+</t>
        </is>
      </c>
      <c r="B249" t="n">
        <v>0.027</v>
      </c>
    </row>
    <row r="250">
      <c r="A250" t="inlineStr">
        <is>
          <t>WY|pre-1960</t>
        </is>
      </c>
      <c r="B250" t="n">
        <v>0.034</v>
      </c>
    </row>
    <row r="251">
      <c r="A251" t="inlineStr">
        <is>
          <t>WY|1960-1983</t>
        </is>
      </c>
      <c r="B251" t="n">
        <v>0.026</v>
      </c>
    </row>
    <row r="252">
      <c r="A252" t="inlineStr">
        <is>
          <t>WY|1984-1999</t>
        </is>
      </c>
      <c r="B252" t="n">
        <v>0.019</v>
      </c>
    </row>
    <row r="253">
      <c r="A253" t="inlineStr">
        <is>
          <t>WY|2000+</t>
        </is>
      </c>
      <c r="B253" t="n">
        <v>0.016</v>
      </c>
    </row>
    <row r="254">
      <c r="A254" t="inlineStr">
        <is>
          <t>DC|pre-1960</t>
        </is>
      </c>
      <c r="B254" t="n">
        <v>0.08500000000000001</v>
      </c>
    </row>
    <row r="255">
      <c r="A255" t="inlineStr">
        <is>
          <t>DC|1960-1983</t>
        </is>
      </c>
      <c r="B255" t="n">
        <v>0.065</v>
      </c>
    </row>
    <row r="256">
      <c r="A256" t="inlineStr">
        <is>
          <t>DC|1984-1999</t>
        </is>
      </c>
      <c r="B256" t="n">
        <v>0.048</v>
      </c>
    </row>
    <row r="257">
      <c r="A257" t="inlineStr">
        <is>
          <t>DC|2000+</t>
        </is>
      </c>
      <c r="B257" t="n">
        <v>0.039</v>
      </c>
    </row>
    <row r="258">
      <c r="A258" t="inlineStr">
        <is>
          <t>PR|pre-1960</t>
        </is>
      </c>
      <c r="B258" t="n">
        <v>0.229</v>
      </c>
    </row>
    <row r="259">
      <c r="A259" t="inlineStr">
        <is>
          <t>PR|1960-1983</t>
        </is>
      </c>
      <c r="B259" t="n">
        <v>0.176</v>
      </c>
    </row>
    <row r="260">
      <c r="A260" t="inlineStr">
        <is>
          <t>PR|1984-1999</t>
        </is>
      </c>
      <c r="B260" t="n">
        <v>0.128</v>
      </c>
    </row>
    <row r="261">
      <c r="A261" t="inlineStr">
        <is>
          <t>PR|2000+</t>
        </is>
      </c>
      <c r="B261" t="n">
        <v>0.106</v>
      </c>
    </row>
    <row r="262">
      <c r="A262" t="inlineStr">
        <is>
          <t>VI|pre-1960</t>
        </is>
      </c>
      <c r="B262" t="n">
        <v>0.229</v>
      </c>
    </row>
    <row r="263">
      <c r="A263" t="inlineStr">
        <is>
          <t>VI|1960-1983</t>
        </is>
      </c>
      <c r="B263" t="n">
        <v>0.176</v>
      </c>
    </row>
    <row r="264">
      <c r="A264" t="inlineStr">
        <is>
          <t>VI|1984-1999</t>
        </is>
      </c>
      <c r="B264" t="n">
        <v>0.128</v>
      </c>
    </row>
    <row r="265">
      <c r="A265" t="inlineStr">
        <is>
          <t>VI|2000+</t>
        </is>
      </c>
      <c r="B265" t="n">
        <v>0.106</v>
      </c>
    </row>
    <row r="266">
      <c r="A266" t="inlineStr">
        <is>
          <t>Cooling electricity intensity (GJ per m² of heated area per year). CA (QC/ON/AB/BC): NRCan CEUD Table 4 (2018-2023 avg). US: RECS 2020 (CO/MI/NY/WA exact); others estimated by CDD^0.75 scaling from humid (NY) or dry (CO) reference, by vintage ratio.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building_type</t>
        </is>
      </c>
      <c r="B1" s="19" t="inlineStr">
        <is>
          <t>envelope_factor</t>
        </is>
      </c>
    </row>
    <row r="2">
      <c r="A2" t="inlineStr">
        <is>
          <t>detached</t>
        </is>
      </c>
      <c r="B2" t="n">
        <v>1</v>
      </c>
    </row>
    <row r="3">
      <c r="A3" t="inlineStr">
        <is>
          <t>attached</t>
        </is>
      </c>
      <c r="B3" t="n">
        <v>0.85</v>
      </c>
    </row>
    <row r="4">
      <c r="A4" t="inlineStr">
        <is>
          <t>apartment</t>
        </is>
      </c>
      <c r="B4" t="n">
        <v>0.7</v>
      </c>
    </row>
    <row r="6">
      <c r="A6" t="inlineStr">
        <is>
          <t>Applied to heating &amp; cooling (envelope/area effect). Source: NRCan CEUD Table 33 building-type ratios.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heating_system</t>
        </is>
      </c>
      <c r="B1" s="19" t="inlineStr">
        <is>
          <t>fuel</t>
        </is>
      </c>
      <c r="C1" s="19" t="inlineStr">
        <is>
          <t>efficiency_or_COP</t>
        </is>
      </c>
    </row>
    <row r="2">
      <c r="A2" t="inlineStr">
        <is>
          <t>Natural gas</t>
        </is>
      </c>
      <c r="B2" t="inlineStr">
        <is>
          <t>Natural gas</t>
        </is>
      </c>
      <c r="C2" t="n">
        <v>0.85</v>
      </c>
    </row>
    <row r="3">
      <c r="A3" t="inlineStr">
        <is>
          <t>Heating oil / propane</t>
        </is>
      </c>
      <c r="B3" t="inlineStr">
        <is>
          <t>Oil/propane</t>
        </is>
      </c>
      <c r="C3" t="n">
        <v>0.84</v>
      </c>
    </row>
    <row r="4">
      <c r="A4" t="inlineStr">
        <is>
          <t>Electric baseboard</t>
        </is>
      </c>
      <c r="B4" t="inlineStr">
        <is>
          <t>Electricity</t>
        </is>
      </c>
      <c r="C4" t="n">
        <v>1</v>
      </c>
    </row>
    <row r="5">
      <c r="A5" t="inlineStr">
        <is>
          <t>Electric heat pump</t>
        </is>
      </c>
      <c r="B5" t="inlineStr">
        <is>
          <t>Electricity</t>
        </is>
      </c>
      <c r="C5" t="n">
        <v>1.9</v>
      </c>
    </row>
    <row r="6">
      <c r="A6" t="inlineStr">
        <is>
          <t>Wood</t>
        </is>
      </c>
      <c r="B6" t="inlineStr">
        <is>
          <t>Wood</t>
        </is>
      </c>
      <c r="C6" t="n">
        <v>0.65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water_heater</t>
        </is>
      </c>
      <c r="B1" s="19" t="inlineStr">
        <is>
          <t>fuel</t>
        </is>
      </c>
      <c r="C1" s="19" t="inlineStr">
        <is>
          <t>efficiency_or_COP</t>
        </is>
      </c>
    </row>
    <row r="2">
      <c r="A2" t="inlineStr">
        <is>
          <t>Natural gas</t>
        </is>
      </c>
      <c r="B2" t="inlineStr">
        <is>
          <t>Natural gas</t>
        </is>
      </c>
      <c r="C2" t="n">
        <v>0.6</v>
      </c>
    </row>
    <row r="3">
      <c r="A3" t="inlineStr">
        <is>
          <t>Electric</t>
        </is>
      </c>
      <c r="B3" t="inlineStr">
        <is>
          <t>Electricity</t>
        </is>
      </c>
      <c r="C3" t="n">
        <v>0.9</v>
      </c>
    </row>
    <row r="4">
      <c r="A4" t="inlineStr">
        <is>
          <t>Heating oil / propane</t>
        </is>
      </c>
      <c r="B4" t="inlineStr">
        <is>
          <t>Oil/propane</t>
        </is>
      </c>
      <c r="C4" t="n">
        <v>0.59</v>
      </c>
    </row>
    <row r="5">
      <c r="A5" t="inlineStr">
        <is>
          <t>Heat-pump water heater</t>
        </is>
      </c>
      <c r="B5" t="inlineStr">
        <is>
          <t>Electricity</t>
        </is>
      </c>
      <c r="C5" t="n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0"/>
  <sheetViews>
    <sheetView topLeftCell="A124" workbookViewId="0">
      <selection activeCell="A1" sqref="A1"/>
    </sheetView>
  </sheetViews>
  <sheetFormatPr baseColWidth="8" defaultRowHeight="15"/>
  <sheetData>
    <row r="1">
      <c r="A1" s="19" t="inlineStr">
        <is>
          <t>key</t>
        </is>
      </c>
      <c r="B1" s="19" t="inlineStr">
        <is>
          <t>useful_hotwater_GJ_per_hh</t>
        </is>
      </c>
    </row>
    <row r="2">
      <c r="A2" t="inlineStr">
        <is>
          <t>QC|detached</t>
        </is>
      </c>
      <c r="B2" t="n">
        <v>12.4</v>
      </c>
    </row>
    <row r="3">
      <c r="A3" t="inlineStr">
        <is>
          <t>QC|attached</t>
        </is>
      </c>
      <c r="B3" t="n">
        <v>11.3</v>
      </c>
    </row>
    <row r="4">
      <c r="A4" t="inlineStr">
        <is>
          <t>QC|apartment</t>
        </is>
      </c>
      <c r="B4" t="n">
        <v>8.5</v>
      </c>
    </row>
    <row r="5">
      <c r="A5" t="inlineStr">
        <is>
          <t>ON|detached</t>
        </is>
      </c>
      <c r="B5" t="n">
        <v>11.2</v>
      </c>
    </row>
    <row r="6">
      <c r="A6" t="inlineStr">
        <is>
          <t>ON|attached</t>
        </is>
      </c>
      <c r="B6" t="n">
        <v>10.2</v>
      </c>
    </row>
    <row r="7">
      <c r="A7" t="inlineStr">
        <is>
          <t>ON|apartment</t>
        </is>
      </c>
      <c r="B7" t="n">
        <v>7.6</v>
      </c>
    </row>
    <row r="8">
      <c r="A8" t="inlineStr">
        <is>
          <t>AB|detached</t>
        </is>
      </c>
      <c r="B8" t="n">
        <v>19.8</v>
      </c>
    </row>
    <row r="9">
      <c r="A9" t="inlineStr">
        <is>
          <t>AB|attached</t>
        </is>
      </c>
      <c r="B9" t="n">
        <v>18</v>
      </c>
    </row>
    <row r="10">
      <c r="A10" t="inlineStr">
        <is>
          <t>AB|apartment</t>
        </is>
      </c>
      <c r="B10" t="n">
        <v>13.5</v>
      </c>
    </row>
    <row r="11">
      <c r="A11" t="inlineStr">
        <is>
          <t>BC|detached</t>
        </is>
      </c>
      <c r="B11" t="n">
        <v>15.8</v>
      </c>
    </row>
    <row r="12">
      <c r="A12" t="inlineStr">
        <is>
          <t>BC|attached</t>
        </is>
      </c>
      <c r="B12" t="n">
        <v>14.4</v>
      </c>
    </row>
    <row r="13">
      <c r="A13" t="inlineStr">
        <is>
          <t>BC|apartment</t>
        </is>
      </c>
      <c r="B13" t="n">
        <v>10.8</v>
      </c>
    </row>
    <row r="14">
      <c r="A14" t="inlineStr">
        <is>
          <t>MB|detached</t>
        </is>
      </c>
      <c r="B14" t="n">
        <v>13.2</v>
      </c>
    </row>
    <row r="15">
      <c r="A15" t="inlineStr">
        <is>
          <t>MB|attached</t>
        </is>
      </c>
      <c r="B15" t="n">
        <v>12</v>
      </c>
    </row>
    <row r="16">
      <c r="A16" t="inlineStr">
        <is>
          <t>MB|apartment</t>
        </is>
      </c>
      <c r="B16" t="n">
        <v>9</v>
      </c>
    </row>
    <row r="17">
      <c r="A17" t="inlineStr">
        <is>
          <t>SK|detached</t>
        </is>
      </c>
      <c r="B17" t="n">
        <v>18.2</v>
      </c>
    </row>
    <row r="18">
      <c r="A18" t="inlineStr">
        <is>
          <t>SK|attached</t>
        </is>
      </c>
      <c r="B18" t="n">
        <v>16.5</v>
      </c>
    </row>
    <row r="19">
      <c r="A19" t="inlineStr">
        <is>
          <t>SK|apartment</t>
        </is>
      </c>
      <c r="B19" t="n">
        <v>12.4</v>
      </c>
    </row>
    <row r="20">
      <c r="A20" t="inlineStr">
        <is>
          <t>NS|detached</t>
        </is>
      </c>
      <c r="B20" t="n">
        <v>12.7</v>
      </c>
    </row>
    <row r="21">
      <c r="A21" t="inlineStr">
        <is>
          <t>NS|attached</t>
        </is>
      </c>
      <c r="B21" t="n">
        <v>11.5</v>
      </c>
    </row>
    <row r="22">
      <c r="A22" t="inlineStr">
        <is>
          <t>NS|apartment</t>
        </is>
      </c>
      <c r="B22" t="n">
        <v>8.6</v>
      </c>
    </row>
    <row r="23">
      <c r="A23" t="inlineStr">
        <is>
          <t>NB|detached</t>
        </is>
      </c>
      <c r="B23" t="n">
        <v>12.7</v>
      </c>
    </row>
    <row r="24">
      <c r="A24" t="inlineStr">
        <is>
          <t>NB|attached</t>
        </is>
      </c>
      <c r="B24" t="n">
        <v>11.5</v>
      </c>
    </row>
    <row r="25">
      <c r="A25" t="inlineStr">
        <is>
          <t>NB|apartment</t>
        </is>
      </c>
      <c r="B25" t="n">
        <v>8.6</v>
      </c>
    </row>
    <row r="26">
      <c r="A26" t="inlineStr">
        <is>
          <t>NL|detached</t>
        </is>
      </c>
      <c r="B26" t="n">
        <v>13.8</v>
      </c>
    </row>
    <row r="27">
      <c r="A27" t="inlineStr">
        <is>
          <t>NL|attached</t>
        </is>
      </c>
      <c r="B27" t="n">
        <v>12.5</v>
      </c>
    </row>
    <row r="28">
      <c r="A28" t="inlineStr">
        <is>
          <t>NL|apartment</t>
        </is>
      </c>
      <c r="B28" t="n">
        <v>9.4</v>
      </c>
    </row>
    <row r="29">
      <c r="A29" t="inlineStr">
        <is>
          <t>PE|detached</t>
        </is>
      </c>
      <c r="B29" t="n">
        <v>12.7</v>
      </c>
    </row>
    <row r="30">
      <c r="A30" t="inlineStr">
        <is>
          <t>PE|attached</t>
        </is>
      </c>
      <c r="B30" t="n">
        <v>11.5</v>
      </c>
    </row>
    <row r="31">
      <c r="A31" t="inlineStr">
        <is>
          <t>PE|apartment</t>
        </is>
      </c>
      <c r="B31" t="n">
        <v>8.6</v>
      </c>
    </row>
    <row r="32">
      <c r="A32" t="inlineStr">
        <is>
          <t>YT|detached</t>
        </is>
      </c>
      <c r="B32" t="n">
        <v>14.9</v>
      </c>
    </row>
    <row r="33">
      <c r="A33" t="inlineStr">
        <is>
          <t>YT|attached</t>
        </is>
      </c>
      <c r="B33" t="n">
        <v>13.5</v>
      </c>
    </row>
    <row r="34">
      <c r="A34" t="inlineStr">
        <is>
          <t>YT|apartment</t>
        </is>
      </c>
      <c r="B34" t="n">
        <v>10.1</v>
      </c>
    </row>
    <row r="35">
      <c r="A35" t="inlineStr">
        <is>
          <t>NT|detached</t>
        </is>
      </c>
      <c r="B35" t="n">
        <v>15.4</v>
      </c>
    </row>
    <row r="36">
      <c r="A36" t="inlineStr">
        <is>
          <t>NT|attached</t>
        </is>
      </c>
      <c r="B36" t="n">
        <v>14</v>
      </c>
    </row>
    <row r="37">
      <c r="A37" t="inlineStr">
        <is>
          <t>NT|apartment</t>
        </is>
      </c>
      <c r="B37" t="n">
        <v>10.5</v>
      </c>
    </row>
    <row r="38">
      <c r="A38" t="inlineStr">
        <is>
          <t>NU|detached</t>
        </is>
      </c>
      <c r="B38" t="n">
        <v>15.4</v>
      </c>
    </row>
    <row r="39">
      <c r="A39" t="inlineStr">
        <is>
          <t>NU|attached</t>
        </is>
      </c>
      <c r="B39" t="n">
        <v>14</v>
      </c>
    </row>
    <row r="40">
      <c r="A40" t="inlineStr">
        <is>
          <t>NU|apartment</t>
        </is>
      </c>
      <c r="B40" t="n">
        <v>10.5</v>
      </c>
    </row>
    <row r="41">
      <c r="A41" t="inlineStr">
        <is>
          <t>CO|detached</t>
        </is>
      </c>
      <c r="B41" t="n">
        <v>12.8</v>
      </c>
    </row>
    <row r="42">
      <c r="A42" t="inlineStr">
        <is>
          <t>CO|attached</t>
        </is>
      </c>
      <c r="B42" t="n">
        <v>11.6</v>
      </c>
    </row>
    <row r="43">
      <c r="A43" t="inlineStr">
        <is>
          <t>CO|apartment</t>
        </is>
      </c>
      <c r="B43" t="n">
        <v>8.699999999999999</v>
      </c>
    </row>
    <row r="44">
      <c r="A44" t="inlineStr">
        <is>
          <t>MI|detached</t>
        </is>
      </c>
      <c r="B44" t="n">
        <v>11.6</v>
      </c>
    </row>
    <row r="45">
      <c r="A45" t="inlineStr">
        <is>
          <t>MI|attached</t>
        </is>
      </c>
      <c r="B45" t="n">
        <v>10.6</v>
      </c>
    </row>
    <row r="46">
      <c r="A46" t="inlineStr">
        <is>
          <t>MI|apartment</t>
        </is>
      </c>
      <c r="B46" t="n">
        <v>7.9</v>
      </c>
    </row>
    <row r="47">
      <c r="A47" t="inlineStr">
        <is>
          <t>NY|detached</t>
        </is>
      </c>
      <c r="B47" t="n">
        <v>12</v>
      </c>
    </row>
    <row r="48">
      <c r="A48" t="inlineStr">
        <is>
          <t>NY|attached</t>
        </is>
      </c>
      <c r="B48" t="n">
        <v>10.9</v>
      </c>
    </row>
    <row r="49">
      <c r="A49" t="inlineStr">
        <is>
          <t>NY|apartment</t>
        </is>
      </c>
      <c r="B49" t="n">
        <v>8.199999999999999</v>
      </c>
    </row>
    <row r="50">
      <c r="A50" t="inlineStr">
        <is>
          <t>WA|detached</t>
        </is>
      </c>
      <c r="B50" t="n">
        <v>14.7</v>
      </c>
    </row>
    <row r="51">
      <c r="A51" t="inlineStr">
        <is>
          <t>WA|attached</t>
        </is>
      </c>
      <c r="B51" t="n">
        <v>13.4</v>
      </c>
    </row>
    <row r="52">
      <c r="A52" t="inlineStr">
        <is>
          <t>WA|apartment</t>
        </is>
      </c>
      <c r="B52" t="n">
        <v>10</v>
      </c>
    </row>
    <row r="53">
      <c r="A53" t="inlineStr">
        <is>
          <t>AL|detached</t>
        </is>
      </c>
      <c r="B53" t="n">
        <v>12.3</v>
      </c>
    </row>
    <row r="54">
      <c r="A54" t="inlineStr">
        <is>
          <t>AL|attached</t>
        </is>
      </c>
      <c r="B54" t="n">
        <v>11.2</v>
      </c>
    </row>
    <row r="55">
      <c r="A55" t="inlineStr">
        <is>
          <t>AL|apartment</t>
        </is>
      </c>
      <c r="B55" t="n">
        <v>8.4</v>
      </c>
    </row>
    <row r="56">
      <c r="A56" t="inlineStr">
        <is>
          <t>AK|detached</t>
        </is>
      </c>
      <c r="B56" t="n">
        <v>15.4</v>
      </c>
    </row>
    <row r="57">
      <c r="A57" t="inlineStr">
        <is>
          <t>AK|attached</t>
        </is>
      </c>
      <c r="B57" t="n">
        <v>14</v>
      </c>
    </row>
    <row r="58">
      <c r="A58" t="inlineStr">
        <is>
          <t>AK|apartment</t>
        </is>
      </c>
      <c r="B58" t="n">
        <v>10.5</v>
      </c>
    </row>
    <row r="59">
      <c r="A59" t="inlineStr">
        <is>
          <t>AZ|detached</t>
        </is>
      </c>
      <c r="B59" t="n">
        <v>10.6</v>
      </c>
    </row>
    <row r="60">
      <c r="A60" t="inlineStr">
        <is>
          <t>AZ|attached</t>
        </is>
      </c>
      <c r="B60" t="n">
        <v>9.6</v>
      </c>
    </row>
    <row r="61">
      <c r="A61" t="inlineStr">
        <is>
          <t>AZ|apartment</t>
        </is>
      </c>
      <c r="B61" t="n">
        <v>7.2</v>
      </c>
    </row>
    <row r="62">
      <c r="A62" t="inlineStr">
        <is>
          <t>AR|detached</t>
        </is>
      </c>
      <c r="B62" t="n">
        <v>12.7</v>
      </c>
    </row>
    <row r="63">
      <c r="A63" t="inlineStr">
        <is>
          <t>AR|attached</t>
        </is>
      </c>
      <c r="B63" t="n">
        <v>11.5</v>
      </c>
    </row>
    <row r="64">
      <c r="A64" t="inlineStr">
        <is>
          <t>AR|apartment</t>
        </is>
      </c>
      <c r="B64" t="n">
        <v>8.6</v>
      </c>
    </row>
    <row r="65">
      <c r="A65" t="inlineStr">
        <is>
          <t>CA|detached</t>
        </is>
      </c>
      <c r="B65" t="n">
        <v>11.9</v>
      </c>
    </row>
    <row r="66">
      <c r="A66" t="inlineStr">
        <is>
          <t>CA|attached</t>
        </is>
      </c>
      <c r="B66" t="n">
        <v>10.8</v>
      </c>
    </row>
    <row r="67">
      <c r="A67" t="inlineStr">
        <is>
          <t>CA|apartment</t>
        </is>
      </c>
      <c r="B67" t="n">
        <v>8.1</v>
      </c>
    </row>
    <row r="68">
      <c r="A68" t="inlineStr">
        <is>
          <t>CT|detached</t>
        </is>
      </c>
      <c r="B68" t="n">
        <v>12.1</v>
      </c>
    </row>
    <row r="69">
      <c r="A69" t="inlineStr">
        <is>
          <t>CT|attached</t>
        </is>
      </c>
      <c r="B69" t="n">
        <v>11</v>
      </c>
    </row>
    <row r="70">
      <c r="A70" t="inlineStr">
        <is>
          <t>CT|apartment</t>
        </is>
      </c>
      <c r="B70" t="n">
        <v>8.199999999999999</v>
      </c>
    </row>
    <row r="71">
      <c r="A71" t="inlineStr">
        <is>
          <t>DE|detached</t>
        </is>
      </c>
      <c r="B71" t="n">
        <v>12.4</v>
      </c>
    </row>
    <row r="72">
      <c r="A72" t="inlineStr">
        <is>
          <t>DE|attached</t>
        </is>
      </c>
      <c r="B72" t="n">
        <v>11.3</v>
      </c>
    </row>
    <row r="73">
      <c r="A73" t="inlineStr">
        <is>
          <t>DE|apartment</t>
        </is>
      </c>
      <c r="B73" t="n">
        <v>8.5</v>
      </c>
    </row>
    <row r="74">
      <c r="A74" t="inlineStr">
        <is>
          <t>FL|detached</t>
        </is>
      </c>
      <c r="B74" t="n">
        <v>10.3</v>
      </c>
    </row>
    <row r="75">
      <c r="A75" t="inlineStr">
        <is>
          <t>FL|attached</t>
        </is>
      </c>
      <c r="B75" t="n">
        <v>9.4</v>
      </c>
    </row>
    <row r="76">
      <c r="A76" t="inlineStr">
        <is>
          <t>FL|apartment</t>
        </is>
      </c>
      <c r="B76" t="n">
        <v>7.1</v>
      </c>
    </row>
    <row r="77">
      <c r="A77" t="inlineStr">
        <is>
          <t>GA|detached</t>
        </is>
      </c>
      <c r="B77" t="n">
        <v>11.9</v>
      </c>
    </row>
    <row r="78">
      <c r="A78" t="inlineStr">
        <is>
          <t>GA|attached</t>
        </is>
      </c>
      <c r="B78" t="n">
        <v>10.8</v>
      </c>
    </row>
    <row r="79">
      <c r="A79" t="inlineStr">
        <is>
          <t>GA|apartment</t>
        </is>
      </c>
      <c r="B79" t="n">
        <v>8.1</v>
      </c>
    </row>
    <row r="80">
      <c r="A80" t="inlineStr">
        <is>
          <t>HI|detached</t>
        </is>
      </c>
      <c r="B80" t="n">
        <v>9.9</v>
      </c>
    </row>
    <row r="81">
      <c r="A81" t="inlineStr">
        <is>
          <t>HI|attached</t>
        </is>
      </c>
      <c r="B81" t="n">
        <v>9</v>
      </c>
    </row>
    <row r="82">
      <c r="A82" t="inlineStr">
        <is>
          <t>HI|apartment</t>
        </is>
      </c>
      <c r="B82" t="n">
        <v>6.8</v>
      </c>
    </row>
    <row r="83">
      <c r="A83" t="inlineStr">
        <is>
          <t>ID|detached</t>
        </is>
      </c>
      <c r="B83" t="n">
        <v>14.3</v>
      </c>
    </row>
    <row r="84">
      <c r="A84" t="inlineStr">
        <is>
          <t>ID|attached</t>
        </is>
      </c>
      <c r="B84" t="n">
        <v>13</v>
      </c>
    </row>
    <row r="85">
      <c r="A85" t="inlineStr">
        <is>
          <t>ID|apartment</t>
        </is>
      </c>
      <c r="B85" t="n">
        <v>9.800000000000001</v>
      </c>
    </row>
    <row r="86">
      <c r="A86" t="inlineStr">
        <is>
          <t>IL|detached</t>
        </is>
      </c>
      <c r="B86" t="n">
        <v>11.9</v>
      </c>
    </row>
    <row r="87">
      <c r="A87" t="inlineStr">
        <is>
          <t>IL|attached</t>
        </is>
      </c>
      <c r="B87" t="n">
        <v>10.8</v>
      </c>
    </row>
    <row r="88">
      <c r="A88" t="inlineStr">
        <is>
          <t>IL|apartment</t>
        </is>
      </c>
      <c r="B88" t="n">
        <v>8.1</v>
      </c>
    </row>
    <row r="89">
      <c r="A89" t="inlineStr">
        <is>
          <t>IN|detached</t>
        </is>
      </c>
      <c r="B89" t="n">
        <v>11.9</v>
      </c>
    </row>
    <row r="90">
      <c r="A90" t="inlineStr">
        <is>
          <t>IN|attached</t>
        </is>
      </c>
      <c r="B90" t="n">
        <v>10.8</v>
      </c>
    </row>
    <row r="91">
      <c r="A91" t="inlineStr">
        <is>
          <t>IN|apartment</t>
        </is>
      </c>
      <c r="B91" t="n">
        <v>8.1</v>
      </c>
    </row>
    <row r="92">
      <c r="A92" t="inlineStr">
        <is>
          <t>IA|detached</t>
        </is>
      </c>
      <c r="B92" t="n">
        <v>12.3</v>
      </c>
    </row>
    <row r="93">
      <c r="A93" t="inlineStr">
        <is>
          <t>IA|attached</t>
        </is>
      </c>
      <c r="B93" t="n">
        <v>11.2</v>
      </c>
    </row>
    <row r="94">
      <c r="A94" t="inlineStr">
        <is>
          <t>IA|apartment</t>
        </is>
      </c>
      <c r="B94" t="n">
        <v>8.4</v>
      </c>
    </row>
    <row r="95">
      <c r="A95" t="inlineStr">
        <is>
          <t>KS|detached</t>
        </is>
      </c>
      <c r="B95" t="n">
        <v>12.3</v>
      </c>
    </row>
    <row r="96">
      <c r="A96" t="inlineStr">
        <is>
          <t>KS|attached</t>
        </is>
      </c>
      <c r="B96" t="n">
        <v>11.2</v>
      </c>
    </row>
    <row r="97">
      <c r="A97" t="inlineStr">
        <is>
          <t>KS|apartment</t>
        </is>
      </c>
      <c r="B97" t="n">
        <v>8.4</v>
      </c>
    </row>
    <row r="98">
      <c r="A98" t="inlineStr">
        <is>
          <t>KY|detached</t>
        </is>
      </c>
      <c r="B98" t="n">
        <v>12.7</v>
      </c>
    </row>
    <row r="99">
      <c r="A99" t="inlineStr">
        <is>
          <t>KY|attached</t>
        </is>
      </c>
      <c r="B99" t="n">
        <v>11.5</v>
      </c>
    </row>
    <row r="100">
      <c r="A100" t="inlineStr">
        <is>
          <t>KY|apartment</t>
        </is>
      </c>
      <c r="B100" t="n">
        <v>8.6</v>
      </c>
    </row>
    <row r="101">
      <c r="A101" t="inlineStr">
        <is>
          <t>LA|detached</t>
        </is>
      </c>
      <c r="B101" t="n">
        <v>10.8</v>
      </c>
    </row>
    <row r="102">
      <c r="A102" t="inlineStr">
        <is>
          <t>LA|attached</t>
        </is>
      </c>
      <c r="B102" t="n">
        <v>9.800000000000001</v>
      </c>
    </row>
    <row r="103">
      <c r="A103" t="inlineStr">
        <is>
          <t>LA|apartment</t>
        </is>
      </c>
      <c r="B103" t="n">
        <v>7.4</v>
      </c>
    </row>
    <row r="104">
      <c r="A104" t="inlineStr">
        <is>
          <t>ME|detached</t>
        </is>
      </c>
      <c r="B104" t="n">
        <v>13.8</v>
      </c>
    </row>
    <row r="105">
      <c r="A105" t="inlineStr">
        <is>
          <t>ME|attached</t>
        </is>
      </c>
      <c r="B105" t="n">
        <v>12.5</v>
      </c>
    </row>
    <row r="106">
      <c r="A106" t="inlineStr">
        <is>
          <t>ME|apartment</t>
        </is>
      </c>
      <c r="B106" t="n">
        <v>9.4</v>
      </c>
    </row>
    <row r="107">
      <c r="A107" t="inlineStr">
        <is>
          <t>MD|detached</t>
        </is>
      </c>
      <c r="B107" t="n">
        <v>12.3</v>
      </c>
    </row>
    <row r="108">
      <c r="A108" t="inlineStr">
        <is>
          <t>MD|attached</t>
        </is>
      </c>
      <c r="B108" t="n">
        <v>11.2</v>
      </c>
    </row>
    <row r="109">
      <c r="A109" t="inlineStr">
        <is>
          <t>MD|apartment</t>
        </is>
      </c>
      <c r="B109" t="n">
        <v>8.4</v>
      </c>
    </row>
    <row r="110">
      <c r="A110" t="inlineStr">
        <is>
          <t>MA|detached</t>
        </is>
      </c>
      <c r="B110" t="n">
        <v>12.1</v>
      </c>
    </row>
    <row r="111">
      <c r="A111" t="inlineStr">
        <is>
          <t>MA|attached</t>
        </is>
      </c>
      <c r="B111" t="n">
        <v>11</v>
      </c>
    </row>
    <row r="112">
      <c r="A112" t="inlineStr">
        <is>
          <t>MA|apartment</t>
        </is>
      </c>
      <c r="B112" t="n">
        <v>8.199999999999999</v>
      </c>
    </row>
    <row r="113">
      <c r="A113" t="inlineStr">
        <is>
          <t>MN|detached</t>
        </is>
      </c>
      <c r="B113" t="n">
        <v>13</v>
      </c>
    </row>
    <row r="114">
      <c r="A114" t="inlineStr">
        <is>
          <t>MN|attached</t>
        </is>
      </c>
      <c r="B114" t="n">
        <v>11.8</v>
      </c>
    </row>
    <row r="115">
      <c r="A115" t="inlineStr">
        <is>
          <t>MN|apartment</t>
        </is>
      </c>
      <c r="B115" t="n">
        <v>8.9</v>
      </c>
    </row>
    <row r="116">
      <c r="A116" t="inlineStr">
        <is>
          <t>MS|detached</t>
        </is>
      </c>
      <c r="B116" t="n">
        <v>11.6</v>
      </c>
    </row>
    <row r="117">
      <c r="A117" t="inlineStr">
        <is>
          <t>MS|attached</t>
        </is>
      </c>
      <c r="B117" t="n">
        <v>10.5</v>
      </c>
    </row>
    <row r="118">
      <c r="A118" t="inlineStr">
        <is>
          <t>MS|apartment</t>
        </is>
      </c>
      <c r="B118" t="n">
        <v>7.9</v>
      </c>
    </row>
    <row r="119">
      <c r="A119" t="inlineStr">
        <is>
          <t>MO|detached</t>
        </is>
      </c>
      <c r="B119" t="n">
        <v>12.1</v>
      </c>
    </row>
    <row r="120">
      <c r="A120" t="inlineStr">
        <is>
          <t>MO|attached</t>
        </is>
      </c>
      <c r="B120" t="n">
        <v>11</v>
      </c>
    </row>
    <row r="121">
      <c r="A121" t="inlineStr">
        <is>
          <t>MO|apartment</t>
        </is>
      </c>
      <c r="B121" t="n">
        <v>8.199999999999999</v>
      </c>
    </row>
    <row r="122">
      <c r="A122" t="inlineStr">
        <is>
          <t>MT|detached</t>
        </is>
      </c>
      <c r="B122" t="n">
        <v>14.3</v>
      </c>
    </row>
    <row r="123">
      <c r="A123" t="inlineStr">
        <is>
          <t>MT|attached</t>
        </is>
      </c>
      <c r="B123" t="n">
        <v>13</v>
      </c>
    </row>
    <row r="124">
      <c r="A124" t="inlineStr">
        <is>
          <t>MT|apartment</t>
        </is>
      </c>
      <c r="B124" t="n">
        <v>9.800000000000001</v>
      </c>
    </row>
    <row r="125">
      <c r="A125" t="inlineStr">
        <is>
          <t>NE|detached</t>
        </is>
      </c>
      <c r="B125" t="n">
        <v>12.7</v>
      </c>
    </row>
    <row r="126">
      <c r="A126" t="inlineStr">
        <is>
          <t>NE|attached</t>
        </is>
      </c>
      <c r="B126" t="n">
        <v>11.5</v>
      </c>
    </row>
    <row r="127">
      <c r="A127" t="inlineStr">
        <is>
          <t>NE|apartment</t>
        </is>
      </c>
      <c r="B127" t="n">
        <v>8.6</v>
      </c>
    </row>
    <row r="128">
      <c r="A128" t="inlineStr">
        <is>
          <t>NV|detached</t>
        </is>
      </c>
      <c r="B128" t="n">
        <v>11</v>
      </c>
    </row>
    <row r="129">
      <c r="A129" t="inlineStr">
        <is>
          <t>NV|attached</t>
        </is>
      </c>
      <c r="B129" t="n">
        <v>10</v>
      </c>
    </row>
    <row r="130">
      <c r="A130" t="inlineStr">
        <is>
          <t>NV|apartment</t>
        </is>
      </c>
      <c r="B130" t="n">
        <v>7.5</v>
      </c>
    </row>
    <row r="131">
      <c r="A131" t="inlineStr">
        <is>
          <t>NH|detached</t>
        </is>
      </c>
      <c r="B131" t="n">
        <v>13.2</v>
      </c>
    </row>
    <row r="132">
      <c r="A132" t="inlineStr">
        <is>
          <t>NH|attached</t>
        </is>
      </c>
      <c r="B132" t="n">
        <v>12</v>
      </c>
    </row>
    <row r="133">
      <c r="A133" t="inlineStr">
        <is>
          <t>NH|apartment</t>
        </is>
      </c>
      <c r="B133" t="n">
        <v>9</v>
      </c>
    </row>
    <row r="134">
      <c r="A134" t="inlineStr">
        <is>
          <t>NJ|detached</t>
        </is>
      </c>
      <c r="B134" t="n">
        <v>12.3</v>
      </c>
    </row>
    <row r="135">
      <c r="A135" t="inlineStr">
        <is>
          <t>NJ|attached</t>
        </is>
      </c>
      <c r="B135" t="n">
        <v>11.2</v>
      </c>
    </row>
    <row r="136">
      <c r="A136" t="inlineStr">
        <is>
          <t>NJ|apartment</t>
        </is>
      </c>
      <c r="B136" t="n">
        <v>8.4</v>
      </c>
    </row>
    <row r="137">
      <c r="A137" t="inlineStr">
        <is>
          <t>NM|detached</t>
        </is>
      </c>
      <c r="B137" t="n">
        <v>11.6</v>
      </c>
    </row>
    <row r="138">
      <c r="A138" t="inlineStr">
        <is>
          <t>NM|attached</t>
        </is>
      </c>
      <c r="B138" t="n">
        <v>10.5</v>
      </c>
    </row>
    <row r="139">
      <c r="A139" t="inlineStr">
        <is>
          <t>NM|apartment</t>
        </is>
      </c>
      <c r="B139" t="n">
        <v>7.9</v>
      </c>
    </row>
    <row r="140">
      <c r="A140" t="inlineStr">
        <is>
          <t>NC|detached</t>
        </is>
      </c>
      <c r="B140" t="n">
        <v>11.9</v>
      </c>
    </row>
    <row r="141">
      <c r="A141" t="inlineStr">
        <is>
          <t>NC|attached</t>
        </is>
      </c>
      <c r="B141" t="n">
        <v>10.8</v>
      </c>
    </row>
    <row r="142">
      <c r="A142" t="inlineStr">
        <is>
          <t>NC|apartment</t>
        </is>
      </c>
      <c r="B142" t="n">
        <v>8.1</v>
      </c>
    </row>
    <row r="143">
      <c r="A143" t="inlineStr">
        <is>
          <t>ND|detached</t>
        </is>
      </c>
      <c r="B143" t="n">
        <v>13.8</v>
      </c>
    </row>
    <row r="144">
      <c r="A144" t="inlineStr">
        <is>
          <t>ND|attached</t>
        </is>
      </c>
      <c r="B144" t="n">
        <v>12.5</v>
      </c>
    </row>
    <row r="145">
      <c r="A145" t="inlineStr">
        <is>
          <t>ND|apartment</t>
        </is>
      </c>
      <c r="B145" t="n">
        <v>9.4</v>
      </c>
    </row>
    <row r="146">
      <c r="A146" t="inlineStr">
        <is>
          <t>OH|detached</t>
        </is>
      </c>
      <c r="B146" t="n">
        <v>11.9</v>
      </c>
    </row>
    <row r="147">
      <c r="A147" t="inlineStr">
        <is>
          <t>OH|attached</t>
        </is>
      </c>
      <c r="B147" t="n">
        <v>10.8</v>
      </c>
    </row>
    <row r="148">
      <c r="A148" t="inlineStr">
        <is>
          <t>OH|apartment</t>
        </is>
      </c>
      <c r="B148" t="n">
        <v>8.1</v>
      </c>
    </row>
    <row r="149">
      <c r="A149" t="inlineStr">
        <is>
          <t>OK|detached</t>
        </is>
      </c>
      <c r="B149" t="n">
        <v>11.6</v>
      </c>
    </row>
    <row r="150">
      <c r="A150" t="inlineStr">
        <is>
          <t>OK|attached</t>
        </is>
      </c>
      <c r="B150" t="n">
        <v>10.5</v>
      </c>
    </row>
    <row r="151">
      <c r="A151" t="inlineStr">
        <is>
          <t>OK|apartment</t>
        </is>
      </c>
      <c r="B151" t="n">
        <v>7.9</v>
      </c>
    </row>
    <row r="152">
      <c r="A152" t="inlineStr">
        <is>
          <t>OR|detached</t>
        </is>
      </c>
      <c r="B152" t="n">
        <v>14.1</v>
      </c>
    </row>
    <row r="153">
      <c r="A153" t="inlineStr">
        <is>
          <t>OR|attached</t>
        </is>
      </c>
      <c r="B153" t="n">
        <v>12.8</v>
      </c>
    </row>
    <row r="154">
      <c r="A154" t="inlineStr">
        <is>
          <t>OR|apartment</t>
        </is>
      </c>
      <c r="B154" t="n">
        <v>9.6</v>
      </c>
    </row>
    <row r="155">
      <c r="A155" t="inlineStr">
        <is>
          <t>PA|detached</t>
        </is>
      </c>
      <c r="B155" t="n">
        <v>12.1</v>
      </c>
    </row>
    <row r="156">
      <c r="A156" t="inlineStr">
        <is>
          <t>PA|attached</t>
        </is>
      </c>
      <c r="B156" t="n">
        <v>11</v>
      </c>
    </row>
    <row r="157">
      <c r="A157" t="inlineStr">
        <is>
          <t>PA|apartment</t>
        </is>
      </c>
      <c r="B157" t="n">
        <v>8.199999999999999</v>
      </c>
    </row>
    <row r="158">
      <c r="A158" t="inlineStr">
        <is>
          <t>RI|detached</t>
        </is>
      </c>
      <c r="B158" t="n">
        <v>12.1</v>
      </c>
    </row>
    <row r="159">
      <c r="A159" t="inlineStr">
        <is>
          <t>RI|attached</t>
        </is>
      </c>
      <c r="B159" t="n">
        <v>11</v>
      </c>
    </row>
    <row r="160">
      <c r="A160" t="inlineStr">
        <is>
          <t>RI|apartment</t>
        </is>
      </c>
      <c r="B160" t="n">
        <v>8.199999999999999</v>
      </c>
    </row>
    <row r="161">
      <c r="A161" t="inlineStr">
        <is>
          <t>SC|detached</t>
        </is>
      </c>
      <c r="B161" t="n">
        <v>11.6</v>
      </c>
    </row>
    <row r="162">
      <c r="A162" t="inlineStr">
        <is>
          <t>SC|attached</t>
        </is>
      </c>
      <c r="B162" t="n">
        <v>10.5</v>
      </c>
    </row>
    <row r="163">
      <c r="A163" t="inlineStr">
        <is>
          <t>SC|apartment</t>
        </is>
      </c>
      <c r="B163" t="n">
        <v>7.9</v>
      </c>
    </row>
    <row r="164">
      <c r="A164" t="inlineStr">
        <is>
          <t>SD|detached</t>
        </is>
      </c>
      <c r="B164" t="n">
        <v>13.8</v>
      </c>
    </row>
    <row r="165">
      <c r="A165" t="inlineStr">
        <is>
          <t>SD|attached</t>
        </is>
      </c>
      <c r="B165" t="n">
        <v>12.5</v>
      </c>
    </row>
    <row r="166">
      <c r="A166" t="inlineStr">
        <is>
          <t>SD|apartment</t>
        </is>
      </c>
      <c r="B166" t="n">
        <v>9.4</v>
      </c>
    </row>
    <row r="167">
      <c r="A167" t="inlineStr">
        <is>
          <t>TN|detached</t>
        </is>
      </c>
      <c r="B167" t="n">
        <v>11.9</v>
      </c>
    </row>
    <row r="168">
      <c r="A168" t="inlineStr">
        <is>
          <t>TN|attached</t>
        </is>
      </c>
      <c r="B168" t="n">
        <v>10.8</v>
      </c>
    </row>
    <row r="169">
      <c r="A169" t="inlineStr">
        <is>
          <t>TN|apartment</t>
        </is>
      </c>
      <c r="B169" t="n">
        <v>8.1</v>
      </c>
    </row>
    <row r="170">
      <c r="A170" t="inlineStr">
        <is>
          <t>TX|detached</t>
        </is>
      </c>
      <c r="B170" t="n">
        <v>10.8</v>
      </c>
    </row>
    <row r="171">
      <c r="A171" t="inlineStr">
        <is>
          <t>TX|attached</t>
        </is>
      </c>
      <c r="B171" t="n">
        <v>9.800000000000001</v>
      </c>
    </row>
    <row r="172">
      <c r="A172" t="inlineStr">
        <is>
          <t>TX|apartment</t>
        </is>
      </c>
      <c r="B172" t="n">
        <v>7.4</v>
      </c>
    </row>
    <row r="173">
      <c r="A173" t="inlineStr">
        <is>
          <t>UT|detached</t>
        </is>
      </c>
      <c r="B173" t="n">
        <v>13.2</v>
      </c>
    </row>
    <row r="174">
      <c r="A174" t="inlineStr">
        <is>
          <t>UT|attached</t>
        </is>
      </c>
      <c r="B174" t="n">
        <v>12</v>
      </c>
    </row>
    <row r="175">
      <c r="A175" t="inlineStr">
        <is>
          <t>UT|apartment</t>
        </is>
      </c>
      <c r="B175" t="n">
        <v>9</v>
      </c>
    </row>
    <row r="176">
      <c r="A176" t="inlineStr">
        <is>
          <t>VT|detached</t>
        </is>
      </c>
      <c r="B176" t="n">
        <v>13.8</v>
      </c>
    </row>
    <row r="177">
      <c r="A177" t="inlineStr">
        <is>
          <t>VT|attached</t>
        </is>
      </c>
      <c r="B177" t="n">
        <v>12.5</v>
      </c>
    </row>
    <row r="178">
      <c r="A178" t="inlineStr">
        <is>
          <t>VT|apartment</t>
        </is>
      </c>
      <c r="B178" t="n">
        <v>9.4</v>
      </c>
    </row>
    <row r="179">
      <c r="A179" t="inlineStr">
        <is>
          <t>VA|detached</t>
        </is>
      </c>
      <c r="B179" t="n">
        <v>11.9</v>
      </c>
    </row>
    <row r="180">
      <c r="A180" t="inlineStr">
        <is>
          <t>VA|attached</t>
        </is>
      </c>
      <c r="B180" t="n">
        <v>10.8</v>
      </c>
    </row>
    <row r="181">
      <c r="A181" t="inlineStr">
        <is>
          <t>VA|apartment</t>
        </is>
      </c>
      <c r="B181" t="n">
        <v>8.1</v>
      </c>
    </row>
    <row r="182">
      <c r="A182" t="inlineStr">
        <is>
          <t>WV|detached</t>
        </is>
      </c>
      <c r="B182" t="n">
        <v>12.7</v>
      </c>
    </row>
    <row r="183">
      <c r="A183" t="inlineStr">
        <is>
          <t>WV|attached</t>
        </is>
      </c>
      <c r="B183" t="n">
        <v>11.5</v>
      </c>
    </row>
    <row r="184">
      <c r="A184" t="inlineStr">
        <is>
          <t>WV|apartment</t>
        </is>
      </c>
      <c r="B184" t="n">
        <v>8.6</v>
      </c>
    </row>
    <row r="185">
      <c r="A185" t="inlineStr">
        <is>
          <t>WI|detached</t>
        </is>
      </c>
      <c r="B185" t="n">
        <v>12.3</v>
      </c>
    </row>
    <row r="186">
      <c r="A186" t="inlineStr">
        <is>
          <t>WI|attached</t>
        </is>
      </c>
      <c r="B186" t="n">
        <v>11.2</v>
      </c>
    </row>
    <row r="187">
      <c r="A187" t="inlineStr">
        <is>
          <t>WI|apartment</t>
        </is>
      </c>
      <c r="B187" t="n">
        <v>8.4</v>
      </c>
    </row>
    <row r="188">
      <c r="A188" t="inlineStr">
        <is>
          <t>WY|detached</t>
        </is>
      </c>
      <c r="B188" t="n">
        <v>14.9</v>
      </c>
    </row>
    <row r="189">
      <c r="A189" t="inlineStr">
        <is>
          <t>WY|attached</t>
        </is>
      </c>
      <c r="B189" t="n">
        <v>13.5</v>
      </c>
    </row>
    <row r="190">
      <c r="A190" t="inlineStr">
        <is>
          <t>WY|apartment</t>
        </is>
      </c>
      <c r="B190" t="n">
        <v>10.1</v>
      </c>
    </row>
    <row r="191">
      <c r="A191" t="inlineStr">
        <is>
          <t>DC|detached</t>
        </is>
      </c>
      <c r="B191" t="n">
        <v>11.6</v>
      </c>
    </row>
    <row r="192">
      <c r="A192" t="inlineStr">
        <is>
          <t>DC|attached</t>
        </is>
      </c>
      <c r="B192" t="n">
        <v>10.5</v>
      </c>
    </row>
    <row r="193">
      <c r="A193" t="inlineStr">
        <is>
          <t>DC|apartment</t>
        </is>
      </c>
      <c r="B193" t="n">
        <v>7.9</v>
      </c>
    </row>
    <row r="194">
      <c r="A194" t="inlineStr">
        <is>
          <t>PR|detached</t>
        </is>
      </c>
      <c r="B194" t="n">
        <v>8.9</v>
      </c>
    </row>
    <row r="195">
      <c r="A195" t="inlineStr">
        <is>
          <t>PR|attached</t>
        </is>
      </c>
      <c r="B195" t="n">
        <v>8.1</v>
      </c>
    </row>
    <row r="196">
      <c r="A196" t="inlineStr">
        <is>
          <t>PR|apartment</t>
        </is>
      </c>
      <c r="B196" t="n">
        <v>6.1</v>
      </c>
    </row>
    <row r="197">
      <c r="A197" t="inlineStr">
        <is>
          <t>VI|detached</t>
        </is>
      </c>
      <c r="B197" t="n">
        <v>8.9</v>
      </c>
    </row>
    <row r="198">
      <c r="A198" t="inlineStr">
        <is>
          <t>VI|attached</t>
        </is>
      </c>
      <c r="B198" t="n">
        <v>8.1</v>
      </c>
    </row>
    <row r="199">
      <c r="A199" t="inlineStr">
        <is>
          <t>VI|apartment</t>
        </is>
      </c>
      <c r="B199" t="n">
        <v>6.1</v>
      </c>
    </row>
    <row r="200">
      <c r="A200" t="inlineStr">
        <is>
          <t>Useful hot-water demand (GJ per household per year) by dwelling type. CA (QC/ON/AB/BC): NRCan CEUD Table 2 (2023). US: RECS 2020 (CO/MI/NY/WA exact); others scaled from RECS 2020 regional means by dwelling-type factors (detached 1.10, attached 1.00, apartment 0.75).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jurisdiction</t>
        </is>
      </c>
      <c r="B1" s="19" t="inlineStr">
        <is>
          <t>other_elec_base_GJ_per_hh</t>
        </is>
      </c>
    </row>
    <row r="2">
      <c r="A2" t="inlineStr">
        <is>
          <t>QC</t>
        </is>
      </c>
      <c r="B2" t="n">
        <v>20.2</v>
      </c>
    </row>
    <row r="3">
      <c r="A3" t="inlineStr">
        <is>
          <t>ON</t>
        </is>
      </c>
      <c r="B3" t="n">
        <v>12.8</v>
      </c>
    </row>
    <row r="4">
      <c r="A4" t="inlineStr">
        <is>
          <t>AB</t>
        </is>
      </c>
      <c r="B4" t="n">
        <v>16.2</v>
      </c>
    </row>
    <row r="5">
      <c r="A5" t="inlineStr">
        <is>
          <t>BC</t>
        </is>
      </c>
      <c r="B5" t="n">
        <v>17</v>
      </c>
    </row>
    <row r="6">
      <c r="A6" t="inlineStr">
        <is>
          <t>MB</t>
        </is>
      </c>
      <c r="B6" t="n">
        <v>16</v>
      </c>
    </row>
    <row r="7">
      <c r="A7" t="inlineStr">
        <is>
          <t>SK</t>
        </is>
      </c>
      <c r="B7" t="n">
        <v>15.5</v>
      </c>
    </row>
    <row r="8">
      <c r="A8" t="inlineStr">
        <is>
          <t>NS</t>
        </is>
      </c>
      <c r="B8" t="n">
        <v>18</v>
      </c>
    </row>
    <row r="9">
      <c r="A9" t="inlineStr">
        <is>
          <t>NB</t>
        </is>
      </c>
      <c r="B9" t="n">
        <v>17</v>
      </c>
    </row>
    <row r="10">
      <c r="A10" t="inlineStr">
        <is>
          <t>NL</t>
        </is>
      </c>
      <c r="B10" t="n">
        <v>20</v>
      </c>
    </row>
    <row r="11">
      <c r="A11" t="inlineStr">
        <is>
          <t>PE</t>
        </is>
      </c>
      <c r="B11" t="n">
        <v>16.5</v>
      </c>
    </row>
    <row r="12">
      <c r="A12" t="inlineStr">
        <is>
          <t>YT</t>
        </is>
      </c>
      <c r="B12" t="n">
        <v>20</v>
      </c>
    </row>
    <row r="13">
      <c r="A13" t="inlineStr">
        <is>
          <t>NT</t>
        </is>
      </c>
      <c r="B13" t="n">
        <v>21</v>
      </c>
    </row>
    <row r="14">
      <c r="A14" t="inlineStr">
        <is>
          <t>NU</t>
        </is>
      </c>
      <c r="B14" t="n">
        <v>22</v>
      </c>
    </row>
    <row r="15">
      <c r="A15" t="inlineStr">
        <is>
          <t>AL</t>
        </is>
      </c>
      <c r="B15" t="n">
        <v>25</v>
      </c>
    </row>
    <row r="16">
      <c r="A16" t="inlineStr">
        <is>
          <t>AK</t>
        </is>
      </c>
      <c r="B16" t="n">
        <v>22</v>
      </c>
    </row>
    <row r="17">
      <c r="A17" t="inlineStr">
        <is>
          <t>AZ</t>
        </is>
      </c>
      <c r="B17" t="n">
        <v>21</v>
      </c>
    </row>
    <row r="18">
      <c r="A18" t="inlineStr">
        <is>
          <t>AR</t>
        </is>
      </c>
      <c r="B18" t="n">
        <v>22.5</v>
      </c>
    </row>
    <row r="19">
      <c r="A19" t="inlineStr">
        <is>
          <t>CA</t>
        </is>
      </c>
      <c r="B19" t="n">
        <v>16</v>
      </c>
    </row>
    <row r="20">
      <c r="A20" t="inlineStr">
        <is>
          <t>CO</t>
        </is>
      </c>
      <c r="B20" t="n">
        <v>21</v>
      </c>
    </row>
    <row r="21">
      <c r="A21" t="inlineStr">
        <is>
          <t>CT</t>
        </is>
      </c>
      <c r="B21" t="n">
        <v>17</v>
      </c>
    </row>
    <row r="22">
      <c r="A22" t="inlineStr">
        <is>
          <t>DE</t>
        </is>
      </c>
      <c r="B22" t="n">
        <v>19.5</v>
      </c>
    </row>
    <row r="23">
      <c r="A23" t="inlineStr">
        <is>
          <t>FL</t>
        </is>
      </c>
      <c r="B23" t="n">
        <v>27</v>
      </c>
    </row>
    <row r="24">
      <c r="A24" t="inlineStr">
        <is>
          <t>GA</t>
        </is>
      </c>
      <c r="B24" t="n">
        <v>23</v>
      </c>
    </row>
    <row r="25">
      <c r="A25" t="inlineStr">
        <is>
          <t>HI</t>
        </is>
      </c>
      <c r="B25" t="n">
        <v>19</v>
      </c>
    </row>
    <row r="26">
      <c r="A26" t="inlineStr">
        <is>
          <t>ID</t>
        </is>
      </c>
      <c r="B26" t="n">
        <v>21.5</v>
      </c>
    </row>
    <row r="27">
      <c r="A27" t="inlineStr">
        <is>
          <t>IL</t>
        </is>
      </c>
      <c r="B27" t="n">
        <v>19.5</v>
      </c>
    </row>
    <row r="28">
      <c r="A28" t="inlineStr">
        <is>
          <t>IN</t>
        </is>
      </c>
      <c r="B28" t="n">
        <v>22</v>
      </c>
    </row>
    <row r="29">
      <c r="A29" t="inlineStr">
        <is>
          <t>IA</t>
        </is>
      </c>
      <c r="B29" t="n">
        <v>21</v>
      </c>
    </row>
    <row r="30">
      <c r="A30" t="inlineStr">
        <is>
          <t>KS</t>
        </is>
      </c>
      <c r="B30" t="n">
        <v>21.5</v>
      </c>
    </row>
    <row r="31">
      <c r="A31" t="inlineStr">
        <is>
          <t>KY</t>
        </is>
      </c>
      <c r="B31" t="n">
        <v>22.5</v>
      </c>
    </row>
    <row r="32">
      <c r="A32" t="inlineStr">
        <is>
          <t>LA</t>
        </is>
      </c>
      <c r="B32" t="n">
        <v>26</v>
      </c>
    </row>
    <row r="33">
      <c r="A33" t="inlineStr">
        <is>
          <t>ME</t>
        </is>
      </c>
      <c r="B33" t="n">
        <v>16.5</v>
      </c>
    </row>
    <row r="34">
      <c r="A34" t="inlineStr">
        <is>
          <t>MD</t>
        </is>
      </c>
      <c r="B34" t="n">
        <v>18.5</v>
      </c>
    </row>
    <row r="35">
      <c r="A35" t="inlineStr">
        <is>
          <t>MA</t>
        </is>
      </c>
      <c r="B35" t="n">
        <v>16.5</v>
      </c>
    </row>
    <row r="36">
      <c r="A36" t="inlineStr">
        <is>
          <t>MI</t>
        </is>
      </c>
      <c r="B36" t="n">
        <v>21</v>
      </c>
    </row>
    <row r="37">
      <c r="A37" t="inlineStr">
        <is>
          <t>MN</t>
        </is>
      </c>
      <c r="B37" t="n">
        <v>20</v>
      </c>
    </row>
    <row r="38">
      <c r="A38" t="inlineStr">
        <is>
          <t>MS</t>
        </is>
      </c>
      <c r="B38" t="n">
        <v>24</v>
      </c>
    </row>
    <row r="39">
      <c r="A39" t="inlineStr">
        <is>
          <t>MO</t>
        </is>
      </c>
      <c r="B39" t="n">
        <v>21.5</v>
      </c>
    </row>
    <row r="40">
      <c r="A40" t="inlineStr">
        <is>
          <t>MT</t>
        </is>
      </c>
      <c r="B40" t="n">
        <v>21</v>
      </c>
    </row>
    <row r="41">
      <c r="A41" t="inlineStr">
        <is>
          <t>NE</t>
        </is>
      </c>
      <c r="B41" t="n">
        <v>21</v>
      </c>
    </row>
    <row r="42">
      <c r="A42" t="inlineStr">
        <is>
          <t>NV</t>
        </is>
      </c>
      <c r="B42" t="n">
        <v>20.5</v>
      </c>
    </row>
    <row r="43">
      <c r="A43" t="inlineStr">
        <is>
          <t>NH</t>
        </is>
      </c>
      <c r="B43" t="n">
        <v>17</v>
      </c>
    </row>
    <row r="44">
      <c r="A44" t="inlineStr">
        <is>
          <t>NJ</t>
        </is>
      </c>
      <c r="B44" t="n">
        <v>18</v>
      </c>
    </row>
    <row r="45">
      <c r="A45" t="inlineStr">
        <is>
          <t>NM</t>
        </is>
      </c>
      <c r="B45" t="n">
        <v>20</v>
      </c>
    </row>
    <row r="46">
      <c r="A46" t="inlineStr">
        <is>
          <t>NY</t>
        </is>
      </c>
      <c r="B46" t="n">
        <v>16</v>
      </c>
    </row>
    <row r="47">
      <c r="A47" t="inlineStr">
        <is>
          <t>NC</t>
        </is>
      </c>
      <c r="B47" t="n">
        <v>21.5</v>
      </c>
    </row>
    <row r="48">
      <c r="A48" t="inlineStr">
        <is>
          <t>ND</t>
        </is>
      </c>
      <c r="B48" t="n">
        <v>21.5</v>
      </c>
    </row>
    <row r="49">
      <c r="A49" t="inlineStr">
        <is>
          <t>OH</t>
        </is>
      </c>
      <c r="B49" t="n">
        <v>21.5</v>
      </c>
    </row>
    <row r="50">
      <c r="A50" t="inlineStr">
        <is>
          <t>OK</t>
        </is>
      </c>
      <c r="B50" t="n">
        <v>22.5</v>
      </c>
    </row>
    <row r="51">
      <c r="A51" t="inlineStr">
        <is>
          <t>OR</t>
        </is>
      </c>
      <c r="B51" t="n">
        <v>18.5</v>
      </c>
    </row>
    <row r="52">
      <c r="A52" t="inlineStr">
        <is>
          <t>PA</t>
        </is>
      </c>
      <c r="B52" t="n">
        <v>18</v>
      </c>
    </row>
    <row r="53">
      <c r="A53" t="inlineStr">
        <is>
          <t>RI</t>
        </is>
      </c>
      <c r="B53" t="n">
        <v>17</v>
      </c>
    </row>
    <row r="54">
      <c r="A54" t="inlineStr">
        <is>
          <t>SC</t>
        </is>
      </c>
      <c r="B54" t="n">
        <v>24</v>
      </c>
    </row>
    <row r="55">
      <c r="A55" t="inlineStr">
        <is>
          <t>SD</t>
        </is>
      </c>
      <c r="B55" t="n">
        <v>21.5</v>
      </c>
    </row>
    <row r="56">
      <c r="A56" t="inlineStr">
        <is>
          <t>TN</t>
        </is>
      </c>
      <c r="B56" t="n">
        <v>23</v>
      </c>
    </row>
    <row r="57">
      <c r="A57" t="inlineStr">
        <is>
          <t>TX</t>
        </is>
      </c>
      <c r="B57" t="n">
        <v>23</v>
      </c>
    </row>
    <row r="58">
      <c r="A58" t="inlineStr">
        <is>
          <t>UT</t>
        </is>
      </c>
      <c r="B58" t="n">
        <v>21</v>
      </c>
    </row>
    <row r="59">
      <c r="A59" t="inlineStr">
        <is>
          <t>VT</t>
        </is>
      </c>
      <c r="B59" t="n">
        <v>16.5</v>
      </c>
    </row>
    <row r="60">
      <c r="A60" t="inlineStr">
        <is>
          <t>VA</t>
        </is>
      </c>
      <c r="B60" t="n">
        <v>20</v>
      </c>
    </row>
    <row r="61">
      <c r="A61" t="inlineStr">
        <is>
          <t>WA</t>
        </is>
      </c>
      <c r="B61" t="n">
        <v>20</v>
      </c>
    </row>
    <row r="62">
      <c r="A62" t="inlineStr">
        <is>
          <t>WV</t>
        </is>
      </c>
      <c r="B62" t="n">
        <v>22</v>
      </c>
    </row>
    <row r="63">
      <c r="A63" t="inlineStr">
        <is>
          <t>WI</t>
        </is>
      </c>
      <c r="B63" t="n">
        <v>21</v>
      </c>
    </row>
    <row r="64">
      <c r="A64" t="inlineStr">
        <is>
          <t>WY</t>
        </is>
      </c>
      <c r="B64" t="n">
        <v>22</v>
      </c>
    </row>
    <row r="65">
      <c r="A65" t="inlineStr">
        <is>
          <t>DC</t>
        </is>
      </c>
      <c r="B65" t="n">
        <v>14.5</v>
      </c>
    </row>
    <row r="66">
      <c r="A66" t="inlineStr">
        <is>
          <t>PR</t>
        </is>
      </c>
      <c r="B66" t="n">
        <v>18</v>
      </c>
    </row>
    <row r="67">
      <c r="A67" t="inlineStr">
        <is>
          <t>VI</t>
        </is>
      </c>
      <c r="B67" t="n">
        <v>20</v>
      </c>
    </row>
    <row r="68">
      <c r="A68" t="inlineStr">
        <is>
          <t>Appliances/lighting/plug-load baseline (GJ per average household). CA (QC/ON/AB/BC): NRCan CEUD Table 2 (2023). US: RECS 2020 non-HVAC electricity (CO/MI/NY/WA exact); others from RECS 2020 state microdata or regional estimate.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household_size</t>
        </is>
      </c>
      <c r="B1" s="19" t="inlineStr">
        <is>
          <t>other_elec_factor</t>
        </is>
      </c>
      <c r="C1" s="19" t="inlineStr">
        <is>
          <t>water_factor_ref</t>
        </is>
      </c>
    </row>
    <row r="2">
      <c r="A2" t="inlineStr">
        <is>
          <t>1</t>
        </is>
      </c>
      <c r="B2" t="n">
        <v>0.66</v>
      </c>
      <c r="C2" t="n">
        <v>0.64</v>
      </c>
    </row>
    <row r="3">
      <c r="A3" t="inlineStr">
        <is>
          <t>2</t>
        </is>
      </c>
      <c r="B3" t="n">
        <v>1</v>
      </c>
      <c r="C3" t="n">
        <v>0.95</v>
      </c>
    </row>
    <row r="4">
      <c r="A4" t="inlineStr">
        <is>
          <t>3</t>
        </is>
      </c>
      <c r="B4" t="n">
        <v>1.17</v>
      </c>
      <c r="C4" t="n">
        <v>1.21</v>
      </c>
    </row>
    <row r="5">
      <c r="A5" t="inlineStr">
        <is>
          <t>4</t>
        </is>
      </c>
      <c r="B5" t="n">
        <v>1.3</v>
      </c>
      <c r="C5" t="n">
        <v>1.4</v>
      </c>
    </row>
    <row r="6">
      <c r="A6" t="inlineStr">
        <is>
          <t>5</t>
        </is>
      </c>
      <c r="B6" t="n">
        <v>1.41</v>
      </c>
      <c r="C6" t="n">
        <v>1.52</v>
      </c>
    </row>
    <row r="7">
      <c r="A7" t="inlineStr">
        <is>
          <t>6+</t>
        </is>
      </c>
      <c r="B7" t="n">
        <v>1.51</v>
      </c>
      <c r="C7" t="n">
        <v>1.55</v>
      </c>
    </row>
    <row r="9">
      <c r="A9" t="inlineStr">
        <is>
          <t>Household-size load factors (normalized to mean=1), RECS 2020 (CO/MI/NY/WA pooled). other_elec_factor used; water_factor_ref optional.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fuel</t>
        </is>
      </c>
      <c r="B1" s="19" t="inlineStr">
        <is>
          <t>combustion_kgCO2e_GJ</t>
        </is>
      </c>
      <c r="C1" s="19" t="inlineStr">
        <is>
          <t>upstream_kgCO2e_GJ</t>
        </is>
      </c>
      <c r="D1" s="19" t="inlineStr">
        <is>
          <t>lifecycle_kgCO2e_GJ</t>
        </is>
      </c>
    </row>
    <row r="2">
      <c r="A2" t="inlineStr">
        <is>
          <t>Natural gas</t>
        </is>
      </c>
      <c r="B2" t="n">
        <v>50.3</v>
      </c>
      <c r="C2" t="n">
        <v>12.98</v>
      </c>
      <c r="D2">
        <f>B2+C2</f>
        <v/>
      </c>
    </row>
    <row r="3">
      <c r="A3" t="inlineStr">
        <is>
          <t>Oil/propane</t>
        </is>
      </c>
      <c r="B3" t="n">
        <v>65.09999999999999</v>
      </c>
      <c r="C3" t="n">
        <v>14.7</v>
      </c>
      <c r="D3">
        <f>B3+C3</f>
        <v/>
      </c>
    </row>
    <row r="4">
      <c r="A4" t="inlineStr">
        <is>
          <t>Wood</t>
        </is>
      </c>
      <c r="B4" t="n">
        <v>1.1</v>
      </c>
      <c r="C4" t="n">
        <v>0</v>
      </c>
      <c r="D4">
        <f>B4+C4</f>
        <v/>
      </c>
    </row>
    <row r="6">
      <c r="A6" t="inlineStr">
        <is>
          <t>Combustion: EPA GHG Emission Factors Hub 2025 (CO2e, HHV; Oil/propane = mean of distillate 70.3 &amp; propane 59.8). Upstream/well-to-tank: DOE BTO Best Practices Jan 2025 Table 2 / RESNET 301-2022 Add.B (NG +12.98; oil +13.89 &amp; propane +15.54 -&gt; mean +14.7). Wood biogenic-neutral; upstream excluded. lifecycle = combustion + upstream (USED in calc).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jurisdiction</t>
        </is>
      </c>
      <c r="B1" s="19" t="inlineStr">
        <is>
          <t>gCO2e_per_kWh</t>
        </is>
      </c>
      <c r="C1" s="19" t="inlineStr">
        <is>
          <t>grid_gross_loss</t>
        </is>
      </c>
      <c r="D1" s="19" t="inlineStr">
        <is>
          <t>combustion_kgCO2e_GJ_delivered</t>
        </is>
      </c>
      <c r="E1" s="19" t="inlineStr">
        <is>
          <t>upstream_kgCO2e_GJ</t>
        </is>
      </c>
      <c r="F1" s="19" t="inlineStr">
        <is>
          <t>lifecycle_kgCO2e_GJ_delivered</t>
        </is>
      </c>
    </row>
    <row r="2">
      <c r="A2" t="inlineStr">
        <is>
          <t>QC</t>
        </is>
      </c>
      <c r="B2" t="n">
        <v>1.7</v>
      </c>
      <c r="C2" t="n">
        <v>0</v>
      </c>
      <c r="D2">
        <f>B2*0.277778/(1-C2)</f>
        <v/>
      </c>
      <c r="E2" t="n">
        <v>0.2</v>
      </c>
      <c r="F2">
        <f>D2+E2</f>
        <v/>
      </c>
    </row>
    <row r="3">
      <c r="A3" t="inlineStr">
        <is>
          <t>ON</t>
        </is>
      </c>
      <c r="B3" t="n">
        <v>38</v>
      </c>
      <c r="C3" t="n">
        <v>0</v>
      </c>
      <c r="D3">
        <f>B3*0.277778/(1-C3)</f>
        <v/>
      </c>
      <c r="E3" t="n">
        <v>3.4</v>
      </c>
      <c r="F3">
        <f>D3+E3</f>
        <v/>
      </c>
    </row>
    <row r="4">
      <c r="A4" t="inlineStr">
        <is>
          <t>AB</t>
        </is>
      </c>
      <c r="B4" t="n">
        <v>490</v>
      </c>
      <c r="C4" t="n">
        <v>0</v>
      </c>
      <c r="D4">
        <f>B4*0.277778/(1-C4)</f>
        <v/>
      </c>
      <c r="E4" t="n">
        <v>22.7</v>
      </c>
      <c r="F4">
        <f>D4+E4</f>
        <v/>
      </c>
    </row>
    <row r="5">
      <c r="A5" t="inlineStr">
        <is>
          <t>BC</t>
        </is>
      </c>
      <c r="B5" t="n">
        <v>15</v>
      </c>
      <c r="C5" t="n">
        <v>0</v>
      </c>
      <c r="D5">
        <f>B5*0.277778/(1-C5)</f>
        <v/>
      </c>
      <c r="E5" t="n">
        <v>1.3</v>
      </c>
      <c r="F5">
        <f>D5+E5</f>
        <v/>
      </c>
    </row>
    <row r="6">
      <c r="A6" t="inlineStr">
        <is>
          <t>MB</t>
        </is>
      </c>
      <c r="B6" t="n">
        <v>1.9</v>
      </c>
      <c r="C6" t="n">
        <v>0</v>
      </c>
      <c r="D6">
        <f>B6*0.277778/(1-C6)</f>
        <v/>
      </c>
      <c r="E6" t="n">
        <v>0.1</v>
      </c>
      <c r="F6">
        <f>D6+E6</f>
        <v/>
      </c>
    </row>
    <row r="7">
      <c r="A7" t="inlineStr">
        <is>
          <t>SK</t>
        </is>
      </c>
      <c r="B7" t="n">
        <v>680</v>
      </c>
      <c r="C7" t="n">
        <v>0</v>
      </c>
      <c r="D7">
        <f>B7*0.277778/(1-C7)</f>
        <v/>
      </c>
      <c r="E7" t="n">
        <v>18</v>
      </c>
      <c r="F7">
        <f>D7+E7</f>
        <v/>
      </c>
    </row>
    <row r="8">
      <c r="A8" t="inlineStr">
        <is>
          <t>NS</t>
        </is>
      </c>
      <c r="B8" t="n">
        <v>560</v>
      </c>
      <c r="C8" t="n">
        <v>0</v>
      </c>
      <c r="D8">
        <f>B8*0.277778/(1-C8)</f>
        <v/>
      </c>
      <c r="E8" t="n">
        <v>23</v>
      </c>
      <c r="F8">
        <f>D8+E8</f>
        <v/>
      </c>
    </row>
    <row r="9">
      <c r="A9" t="inlineStr">
        <is>
          <t>NB</t>
        </is>
      </c>
      <c r="B9" t="n">
        <v>180</v>
      </c>
      <c r="C9" t="n">
        <v>0</v>
      </c>
      <c r="D9">
        <f>B9*0.277778/(1-C9)</f>
        <v/>
      </c>
      <c r="E9" t="n">
        <v>13</v>
      </c>
      <c r="F9">
        <f>D9+E9</f>
        <v/>
      </c>
    </row>
    <row r="10">
      <c r="A10" t="inlineStr">
        <is>
          <t>NL</t>
        </is>
      </c>
      <c r="B10" t="n">
        <v>22</v>
      </c>
      <c r="C10" t="n">
        <v>0</v>
      </c>
      <c r="D10">
        <f>B10*0.277778/(1-C10)</f>
        <v/>
      </c>
      <c r="E10" t="n">
        <v>1</v>
      </c>
      <c r="F10">
        <f>D10+E10</f>
        <v/>
      </c>
    </row>
    <row r="11">
      <c r="A11" t="inlineStr">
        <is>
          <t>PE</t>
        </is>
      </c>
      <c r="B11" t="n">
        <v>250</v>
      </c>
      <c r="C11" t="n">
        <v>0</v>
      </c>
      <c r="D11">
        <f>B11*0.277778/(1-C11)</f>
        <v/>
      </c>
      <c r="E11" t="n">
        <v>18</v>
      </c>
      <c r="F11">
        <f>D11+E11</f>
        <v/>
      </c>
    </row>
    <row r="12">
      <c r="A12" t="inlineStr">
        <is>
          <t>YT</t>
        </is>
      </c>
      <c r="B12" t="n">
        <v>40</v>
      </c>
      <c r="C12" t="n">
        <v>0</v>
      </c>
      <c r="D12">
        <f>B12*0.277778/(1-C12)</f>
        <v/>
      </c>
      <c r="E12" t="n">
        <v>3.5</v>
      </c>
      <c r="F12">
        <f>D12+E12</f>
        <v/>
      </c>
    </row>
    <row r="13">
      <c r="A13" t="inlineStr">
        <is>
          <t>NT</t>
        </is>
      </c>
      <c r="B13" t="n">
        <v>280</v>
      </c>
      <c r="C13" t="n">
        <v>0</v>
      </c>
      <c r="D13">
        <f>B13*0.277778/(1-C13)</f>
        <v/>
      </c>
      <c r="E13" t="n">
        <v>28</v>
      </c>
      <c r="F13">
        <f>D13+E13</f>
        <v/>
      </c>
    </row>
    <row r="14">
      <c r="A14" t="inlineStr">
        <is>
          <t>NU</t>
        </is>
      </c>
      <c r="B14" t="n">
        <v>780</v>
      </c>
      <c r="C14" t="n">
        <v>0</v>
      </c>
      <c r="D14">
        <f>B14*0.277778/(1-C14)</f>
        <v/>
      </c>
      <c r="E14" t="n">
        <v>34</v>
      </c>
      <c r="F14">
        <f>D14+E14</f>
        <v/>
      </c>
    </row>
    <row r="15">
      <c r="A15" t="inlineStr">
        <is>
          <t>CO</t>
        </is>
      </c>
      <c r="B15" t="n">
        <v>474</v>
      </c>
      <c r="C15" t="n">
        <v>0.041</v>
      </c>
      <c r="D15">
        <f>B15*0.277778/(1-C15)</f>
        <v/>
      </c>
      <c r="E15" t="n">
        <v>16.1</v>
      </c>
      <c r="F15">
        <f>D15+E15</f>
        <v/>
      </c>
    </row>
    <row r="16">
      <c r="A16" t="inlineStr">
        <is>
          <t>MI</t>
        </is>
      </c>
      <c r="B16" t="n">
        <v>347</v>
      </c>
      <c r="C16" t="n">
        <v>0.042</v>
      </c>
      <c r="D16">
        <f>B16*0.277778/(1-C16)</f>
        <v/>
      </c>
      <c r="E16" t="n">
        <v>18.4</v>
      </c>
      <c r="F16">
        <f>D16+E16</f>
        <v/>
      </c>
    </row>
    <row r="17">
      <c r="A17" t="inlineStr">
        <is>
          <t>NY</t>
        </is>
      </c>
      <c r="B17" t="n">
        <v>203</v>
      </c>
      <c r="C17" t="n">
        <v>0.042</v>
      </c>
      <c r="D17">
        <f>B17*0.277778/(1-C17)</f>
        <v/>
      </c>
      <c r="E17" t="n">
        <v>14.7</v>
      </c>
      <c r="F17">
        <f>D17+E17</f>
        <v/>
      </c>
    </row>
    <row r="18">
      <c r="A18" t="inlineStr">
        <is>
          <t>WA</t>
        </is>
      </c>
      <c r="B18" t="n">
        <v>116</v>
      </c>
      <c r="C18" t="n">
        <v>0.041</v>
      </c>
      <c r="D18">
        <f>B18*0.277778/(1-C18)</f>
        <v/>
      </c>
      <c r="E18" t="n">
        <v>6.7</v>
      </c>
      <c r="F18">
        <f>D18+E18</f>
        <v/>
      </c>
    </row>
    <row r="19">
      <c r="A19" t="inlineStr">
        <is>
          <t>AL</t>
        </is>
      </c>
      <c r="B19" t="n">
        <v>390</v>
      </c>
      <c r="C19" t="n">
        <v>0.041</v>
      </c>
      <c r="D19">
        <f>B19*0.277778/(1-C19)</f>
        <v/>
      </c>
      <c r="E19" t="n">
        <v>12.5</v>
      </c>
      <c r="F19">
        <f>D19+E19</f>
        <v/>
      </c>
    </row>
    <row r="20">
      <c r="A20" t="inlineStr">
        <is>
          <t>AK</t>
        </is>
      </c>
      <c r="B20" t="n">
        <v>411</v>
      </c>
      <c r="C20" t="n">
        <v>0.041</v>
      </c>
      <c r="D20">
        <f>B20*0.277778/(1-C20)</f>
        <v/>
      </c>
      <c r="E20" t="n">
        <v>10</v>
      </c>
      <c r="F20">
        <f>D20+E20</f>
        <v/>
      </c>
    </row>
    <row r="21">
      <c r="A21" t="inlineStr">
        <is>
          <t>AZ</t>
        </is>
      </c>
      <c r="B21" t="n">
        <v>320</v>
      </c>
      <c r="C21" t="n">
        <v>0.041</v>
      </c>
      <c r="D21">
        <f>B21*0.277778/(1-C21)</f>
        <v/>
      </c>
      <c r="E21" t="n">
        <v>11</v>
      </c>
      <c r="F21">
        <f>D21+E21</f>
        <v/>
      </c>
    </row>
    <row r="22">
      <c r="A22" t="inlineStr">
        <is>
          <t>AR</t>
        </is>
      </c>
      <c r="B22" t="n">
        <v>337</v>
      </c>
      <c r="C22" t="n">
        <v>0.041</v>
      </c>
      <c r="D22">
        <f>B22*0.277778/(1-C22)</f>
        <v/>
      </c>
      <c r="E22" t="n">
        <v>10.5</v>
      </c>
      <c r="F22">
        <f>D22+E22</f>
        <v/>
      </c>
    </row>
    <row r="23">
      <c r="A23" t="inlineStr">
        <is>
          <t>CA</t>
        </is>
      </c>
      <c r="B23" t="n">
        <v>195</v>
      </c>
      <c r="C23" t="n">
        <v>0.041</v>
      </c>
      <c r="D23">
        <f>B23*0.277778/(1-C23)</f>
        <v/>
      </c>
      <c r="E23" t="n">
        <v>11.5</v>
      </c>
      <c r="F23">
        <f>D23+E23</f>
        <v/>
      </c>
    </row>
    <row r="24">
      <c r="A24" t="inlineStr">
        <is>
          <t>CT</t>
        </is>
      </c>
      <c r="B24" t="n">
        <v>175</v>
      </c>
      <c r="C24" t="n">
        <v>0.045</v>
      </c>
      <c r="D24">
        <f>B24*0.277778/(1-C24)</f>
        <v/>
      </c>
      <c r="E24" t="n">
        <v>12</v>
      </c>
      <c r="F24">
        <f>D24+E24</f>
        <v/>
      </c>
    </row>
    <row r="25">
      <c r="A25" t="inlineStr">
        <is>
          <t>DE</t>
        </is>
      </c>
      <c r="B25" t="n">
        <v>272</v>
      </c>
      <c r="C25" t="n">
        <v>0.04</v>
      </c>
      <c r="D25">
        <f>B25*0.277778/(1-C25)</f>
        <v/>
      </c>
      <c r="E25" t="n">
        <v>14</v>
      </c>
      <c r="F25">
        <f>D25+E25</f>
        <v/>
      </c>
    </row>
    <row r="26">
      <c r="A26" t="inlineStr">
        <is>
          <t>FL</t>
        </is>
      </c>
      <c r="B26" t="n">
        <v>356</v>
      </c>
      <c r="C26" t="n">
        <v>0.041</v>
      </c>
      <c r="D26">
        <f>B26*0.277778/(1-C26)</f>
        <v/>
      </c>
      <c r="E26" t="n">
        <v>13.5</v>
      </c>
      <c r="F26">
        <f>D26+E26</f>
        <v/>
      </c>
    </row>
    <row r="27">
      <c r="A27" t="inlineStr">
        <is>
          <t>GA</t>
        </is>
      </c>
      <c r="B27" t="n">
        <v>350</v>
      </c>
      <c r="C27" t="n">
        <v>0.041</v>
      </c>
      <c r="D27">
        <f>B27*0.277778/(1-C27)</f>
        <v/>
      </c>
      <c r="E27" t="n">
        <v>11.5</v>
      </c>
      <c r="F27">
        <f>D27+E27</f>
        <v/>
      </c>
    </row>
    <row r="28">
      <c r="A28" t="inlineStr">
        <is>
          <t>HI</t>
        </is>
      </c>
      <c r="B28" t="n">
        <v>600</v>
      </c>
      <c r="C28" t="n">
        <v>0.041</v>
      </c>
      <c r="D28">
        <f>B28*0.277778/(1-C28)</f>
        <v/>
      </c>
      <c r="E28" t="n">
        <v>20</v>
      </c>
      <c r="F28">
        <f>D28+E28</f>
        <v/>
      </c>
    </row>
    <row r="29">
      <c r="A29" t="inlineStr">
        <is>
          <t>ID</t>
        </is>
      </c>
      <c r="B29" t="n">
        <v>80</v>
      </c>
      <c r="C29" t="n">
        <v>0.041</v>
      </c>
      <c r="D29">
        <f>B29*0.277778/(1-C29)</f>
        <v/>
      </c>
      <c r="E29" t="n">
        <v>3.5</v>
      </c>
      <c r="F29">
        <f>D29+E29</f>
        <v/>
      </c>
    </row>
    <row r="30">
      <c r="A30" t="inlineStr">
        <is>
          <t>IL</t>
        </is>
      </c>
      <c r="B30" t="n">
        <v>330</v>
      </c>
      <c r="C30" t="n">
        <v>0.042</v>
      </c>
      <c r="D30">
        <f>B30*0.277778/(1-C30)</f>
        <v/>
      </c>
      <c r="E30" t="n">
        <v>13</v>
      </c>
      <c r="F30">
        <f>D30+E30</f>
        <v/>
      </c>
    </row>
    <row r="31">
      <c r="A31" t="inlineStr">
        <is>
          <t>IN</t>
        </is>
      </c>
      <c r="B31" t="n">
        <v>460</v>
      </c>
      <c r="C31" t="n">
        <v>0.043</v>
      </c>
      <c r="D31">
        <f>B31*0.277778/(1-C31)</f>
        <v/>
      </c>
      <c r="E31" t="n">
        <v>17</v>
      </c>
      <c r="F31">
        <f>D31+E31</f>
        <v/>
      </c>
    </row>
    <row r="32">
      <c r="A32" t="inlineStr">
        <is>
          <t>IA</t>
        </is>
      </c>
      <c r="B32" t="n">
        <v>310</v>
      </c>
      <c r="C32" t="n">
        <v>0.041</v>
      </c>
      <c r="D32">
        <f>B32*0.277778/(1-C32)</f>
        <v/>
      </c>
      <c r="E32" t="n">
        <v>11</v>
      </c>
      <c r="F32">
        <f>D32+E32</f>
        <v/>
      </c>
    </row>
    <row r="33">
      <c r="A33" t="inlineStr">
        <is>
          <t>KS</t>
        </is>
      </c>
      <c r="B33" t="n">
        <v>320</v>
      </c>
      <c r="C33" t="n">
        <v>0.041</v>
      </c>
      <c r="D33">
        <f>B33*0.277778/(1-C33)</f>
        <v/>
      </c>
      <c r="E33" t="n">
        <v>11.5</v>
      </c>
      <c r="F33">
        <f>D33+E33</f>
        <v/>
      </c>
    </row>
    <row r="34">
      <c r="A34" t="inlineStr">
        <is>
          <t>KY</t>
        </is>
      </c>
      <c r="B34" t="n">
        <v>510</v>
      </c>
      <c r="C34" t="n">
        <v>0.043</v>
      </c>
      <c r="D34">
        <f>B34*0.277778/(1-C34)</f>
        <v/>
      </c>
      <c r="E34" t="n">
        <v>17.5</v>
      </c>
      <c r="F34">
        <f>D34+E34</f>
        <v/>
      </c>
    </row>
    <row r="35">
      <c r="A35" t="inlineStr">
        <is>
          <t>LA</t>
        </is>
      </c>
      <c r="B35" t="n">
        <v>340</v>
      </c>
      <c r="C35" t="n">
        <v>0.041</v>
      </c>
      <c r="D35">
        <f>B35*0.277778/(1-C35)</f>
        <v/>
      </c>
      <c r="E35" t="n">
        <v>12.5</v>
      </c>
      <c r="F35">
        <f>D35+E35</f>
        <v/>
      </c>
    </row>
    <row r="36">
      <c r="A36" t="inlineStr">
        <is>
          <t>ME</t>
        </is>
      </c>
      <c r="B36" t="n">
        <v>120</v>
      </c>
      <c r="C36" t="n">
        <v>0.045</v>
      </c>
      <c r="D36">
        <f>B36*0.277778/(1-C36)</f>
        <v/>
      </c>
      <c r="E36" t="n">
        <v>6</v>
      </c>
      <c r="F36">
        <f>D36+E36</f>
        <v/>
      </c>
    </row>
    <row r="37">
      <c r="A37" t="inlineStr">
        <is>
          <t>MD</t>
        </is>
      </c>
      <c r="B37" t="n">
        <v>240</v>
      </c>
      <c r="C37" t="n">
        <v>0.04</v>
      </c>
      <c r="D37">
        <f>B37*0.277778/(1-C37)</f>
        <v/>
      </c>
      <c r="E37" t="n">
        <v>11.5</v>
      </c>
      <c r="F37">
        <f>D37+E37</f>
        <v/>
      </c>
    </row>
    <row r="38">
      <c r="A38" t="inlineStr">
        <is>
          <t>MA</t>
        </is>
      </c>
      <c r="B38" t="n">
        <v>245</v>
      </c>
      <c r="C38" t="n">
        <v>0.045</v>
      </c>
      <c r="D38">
        <f>B38*0.277778/(1-C38)</f>
        <v/>
      </c>
      <c r="E38" t="n">
        <v>14</v>
      </c>
      <c r="F38">
        <f>D38+E38</f>
        <v/>
      </c>
    </row>
    <row r="39">
      <c r="A39" t="inlineStr">
        <is>
          <t>MN</t>
        </is>
      </c>
      <c r="B39" t="n">
        <v>280</v>
      </c>
      <c r="C39" t="n">
        <v>0.041</v>
      </c>
      <c r="D39">
        <f>B39*0.277778/(1-C39)</f>
        <v/>
      </c>
      <c r="E39" t="n">
        <v>10.5</v>
      </c>
      <c r="F39">
        <f>D39+E39</f>
        <v/>
      </c>
    </row>
    <row r="40">
      <c r="A40" t="inlineStr">
        <is>
          <t>MS</t>
        </is>
      </c>
      <c r="B40" t="n">
        <v>350</v>
      </c>
      <c r="C40" t="n">
        <v>0.041</v>
      </c>
      <c r="D40">
        <f>B40*0.277778/(1-C40)</f>
        <v/>
      </c>
      <c r="E40" t="n">
        <v>12</v>
      </c>
      <c r="F40">
        <f>D40+E40</f>
        <v/>
      </c>
    </row>
    <row r="41">
      <c r="A41" t="inlineStr">
        <is>
          <t>MO</t>
        </is>
      </c>
      <c r="B41" t="n">
        <v>490</v>
      </c>
      <c r="C41" t="n">
        <v>0.041</v>
      </c>
      <c r="D41">
        <f>B41*0.277778/(1-C41)</f>
        <v/>
      </c>
      <c r="E41" t="n">
        <v>16.5</v>
      </c>
      <c r="F41">
        <f>D41+E41</f>
        <v/>
      </c>
    </row>
    <row r="42">
      <c r="A42" t="inlineStr">
        <is>
          <t>MT</t>
        </is>
      </c>
      <c r="B42" t="n">
        <v>220</v>
      </c>
      <c r="C42" t="n">
        <v>0.041</v>
      </c>
      <c r="D42">
        <f>B42*0.277778/(1-C42)</f>
        <v/>
      </c>
      <c r="E42" t="n">
        <v>9.5</v>
      </c>
      <c r="F42">
        <f>D42+E42</f>
        <v/>
      </c>
    </row>
    <row r="43">
      <c r="A43" t="inlineStr">
        <is>
          <t>NE</t>
        </is>
      </c>
      <c r="B43" t="n">
        <v>340</v>
      </c>
      <c r="C43" t="n">
        <v>0.041</v>
      </c>
      <c r="D43">
        <f>B43*0.277778/(1-C43)</f>
        <v/>
      </c>
      <c r="E43" t="n">
        <v>11.5</v>
      </c>
      <c r="F43">
        <f>D43+E43</f>
        <v/>
      </c>
    </row>
    <row r="44">
      <c r="A44" t="inlineStr">
        <is>
          <t>NV</t>
        </is>
      </c>
      <c r="B44" t="n">
        <v>270</v>
      </c>
      <c r="C44" t="n">
        <v>0.041</v>
      </c>
      <c r="D44">
        <f>B44*0.277778/(1-C44)</f>
        <v/>
      </c>
      <c r="E44" t="n">
        <v>12</v>
      </c>
      <c r="F44">
        <f>D44+E44</f>
        <v/>
      </c>
    </row>
    <row r="45">
      <c r="A45" t="inlineStr">
        <is>
          <t>NH</t>
        </is>
      </c>
      <c r="B45" t="n">
        <v>155</v>
      </c>
      <c r="C45" t="n">
        <v>0.045</v>
      </c>
      <c r="D45">
        <f>B45*0.277778/(1-C45)</f>
        <v/>
      </c>
      <c r="E45" t="n">
        <v>8.5</v>
      </c>
      <c r="F45">
        <f>D45+E45</f>
        <v/>
      </c>
    </row>
    <row r="46">
      <c r="A46" t="inlineStr">
        <is>
          <t>NJ</t>
        </is>
      </c>
      <c r="B46" t="n">
        <v>190</v>
      </c>
      <c r="C46" t="n">
        <v>0.04</v>
      </c>
      <c r="D46">
        <f>B46*0.277778/(1-C46)</f>
        <v/>
      </c>
      <c r="E46" t="n">
        <v>9</v>
      </c>
      <c r="F46">
        <f>D46+E46</f>
        <v/>
      </c>
    </row>
    <row r="47">
      <c r="A47" t="inlineStr">
        <is>
          <t>NM</t>
        </is>
      </c>
      <c r="B47" t="n">
        <v>350</v>
      </c>
      <c r="C47" t="n">
        <v>0.041</v>
      </c>
      <c r="D47">
        <f>B47*0.277778/(1-C47)</f>
        <v/>
      </c>
      <c r="E47" t="n">
        <v>13</v>
      </c>
      <c r="F47">
        <f>D47+E47</f>
        <v/>
      </c>
    </row>
    <row r="48">
      <c r="A48" t="inlineStr">
        <is>
          <t>NC</t>
        </is>
      </c>
      <c r="B48" t="n">
        <v>255</v>
      </c>
      <c r="C48" t="n">
        <v>0.041</v>
      </c>
      <c r="D48">
        <f>B48*0.277778/(1-C48)</f>
        <v/>
      </c>
      <c r="E48" t="n">
        <v>9.5</v>
      </c>
      <c r="F48">
        <f>D48+E48</f>
        <v/>
      </c>
    </row>
    <row r="49">
      <c r="A49" t="inlineStr">
        <is>
          <t>ND</t>
        </is>
      </c>
      <c r="B49" t="n">
        <v>515</v>
      </c>
      <c r="C49" t="n">
        <v>0.041</v>
      </c>
      <c r="D49">
        <f>B49*0.277778/(1-C49)</f>
        <v/>
      </c>
      <c r="E49" t="n">
        <v>14.5</v>
      </c>
      <c r="F49">
        <f>D49+E49</f>
        <v/>
      </c>
    </row>
    <row r="50">
      <c r="A50" t="inlineStr">
        <is>
          <t>OH</t>
        </is>
      </c>
      <c r="B50" t="n">
        <v>400</v>
      </c>
      <c r="C50" t="n">
        <v>0.043</v>
      </c>
      <c r="D50">
        <f>B50*0.277778/(1-C50)</f>
        <v/>
      </c>
      <c r="E50" t="n">
        <v>14</v>
      </c>
      <c r="F50">
        <f>D50+E50</f>
        <v/>
      </c>
    </row>
    <row r="51">
      <c r="A51" t="inlineStr">
        <is>
          <t>OK</t>
        </is>
      </c>
      <c r="B51" t="n">
        <v>305</v>
      </c>
      <c r="C51" t="n">
        <v>0.041</v>
      </c>
      <c r="D51">
        <f>B51*0.277778/(1-C51)</f>
        <v/>
      </c>
      <c r="E51" t="n">
        <v>11</v>
      </c>
      <c r="F51">
        <f>D51+E51</f>
        <v/>
      </c>
    </row>
    <row r="52">
      <c r="A52" t="inlineStr">
        <is>
          <t>OR</t>
        </is>
      </c>
      <c r="B52" t="n">
        <v>100</v>
      </c>
      <c r="C52" t="n">
        <v>0.041</v>
      </c>
      <c r="D52">
        <f>B52*0.277778/(1-C52)</f>
        <v/>
      </c>
      <c r="E52" t="n">
        <v>5</v>
      </c>
      <c r="F52">
        <f>D52+E52</f>
        <v/>
      </c>
    </row>
    <row r="53">
      <c r="A53" t="inlineStr">
        <is>
          <t>PA</t>
        </is>
      </c>
      <c r="B53" t="n">
        <v>250</v>
      </c>
      <c r="C53" t="n">
        <v>0.04</v>
      </c>
      <c r="D53">
        <f>B53*0.277778/(1-C53)</f>
        <v/>
      </c>
      <c r="E53" t="n">
        <v>10.5</v>
      </c>
      <c r="F53">
        <f>D53+E53</f>
        <v/>
      </c>
    </row>
    <row r="54">
      <c r="A54" t="inlineStr">
        <is>
          <t>RI</t>
        </is>
      </c>
      <c r="B54" t="n">
        <v>230</v>
      </c>
      <c r="C54" t="n">
        <v>0.045</v>
      </c>
      <c r="D54">
        <f>B54*0.277778/(1-C54)</f>
        <v/>
      </c>
      <c r="E54" t="n">
        <v>13.5</v>
      </c>
      <c r="F54">
        <f>D54+E54</f>
        <v/>
      </c>
    </row>
    <row r="55">
      <c r="A55" t="inlineStr">
        <is>
          <t>SC</t>
        </is>
      </c>
      <c r="B55" t="n">
        <v>215</v>
      </c>
      <c r="C55" t="n">
        <v>0.041</v>
      </c>
      <c r="D55">
        <f>B55*0.277778/(1-C55)</f>
        <v/>
      </c>
      <c r="E55" t="n">
        <v>7.5</v>
      </c>
      <c r="F55">
        <f>D55+E55</f>
        <v/>
      </c>
    </row>
    <row r="56">
      <c r="A56" t="inlineStr">
        <is>
          <t>SD</t>
        </is>
      </c>
      <c r="B56" t="n">
        <v>130</v>
      </c>
      <c r="C56" t="n">
        <v>0.041</v>
      </c>
      <c r="D56">
        <f>B56*0.277778/(1-C56)</f>
        <v/>
      </c>
      <c r="E56" t="n">
        <v>6</v>
      </c>
      <c r="F56">
        <f>D56+E56</f>
        <v/>
      </c>
    </row>
    <row r="57">
      <c r="A57" t="inlineStr">
        <is>
          <t>TN</t>
        </is>
      </c>
      <c r="B57" t="n">
        <v>295</v>
      </c>
      <c r="C57" t="n">
        <v>0.041</v>
      </c>
      <c r="D57">
        <f>B57*0.277778/(1-C57)</f>
        <v/>
      </c>
      <c r="E57" t="n">
        <v>9.5</v>
      </c>
      <c r="F57">
        <f>D57+E57</f>
        <v/>
      </c>
    </row>
    <row r="58">
      <c r="A58" t="inlineStr">
        <is>
          <t>TX</t>
        </is>
      </c>
      <c r="B58" t="n">
        <v>334</v>
      </c>
      <c r="C58" t="n">
        <v>0.041</v>
      </c>
      <c r="D58">
        <f>B58*0.277778/(1-C58)</f>
        <v/>
      </c>
      <c r="E58" t="n">
        <v>13</v>
      </c>
      <c r="F58">
        <f>D58+E58</f>
        <v/>
      </c>
    </row>
    <row r="59">
      <c r="A59" t="inlineStr">
        <is>
          <t>UT</t>
        </is>
      </c>
      <c r="B59" t="n">
        <v>430</v>
      </c>
      <c r="C59" t="n">
        <v>0.041</v>
      </c>
      <c r="D59">
        <f>B59*0.277778/(1-C59)</f>
        <v/>
      </c>
      <c r="E59" t="n">
        <v>14.5</v>
      </c>
      <c r="F59">
        <f>D59+E59</f>
        <v/>
      </c>
    </row>
    <row r="60">
      <c r="A60" t="inlineStr">
        <is>
          <t>VT</t>
        </is>
      </c>
      <c r="B60" t="n">
        <v>16</v>
      </c>
      <c r="C60" t="n">
        <v>0.045</v>
      </c>
      <c r="D60">
        <f>B60*0.277778/(1-C60)</f>
        <v/>
      </c>
      <c r="E60" t="n">
        <v>2</v>
      </c>
      <c r="F60">
        <f>D60+E60</f>
        <v/>
      </c>
    </row>
    <row r="61">
      <c r="A61" t="inlineStr">
        <is>
          <t>VA</t>
        </is>
      </c>
      <c r="B61" t="n">
        <v>215</v>
      </c>
      <c r="C61" t="n">
        <v>0.041</v>
      </c>
      <c r="D61">
        <f>B61*0.277778/(1-C61)</f>
        <v/>
      </c>
      <c r="E61" t="n">
        <v>8.5</v>
      </c>
      <c r="F61">
        <f>D61+E61</f>
        <v/>
      </c>
    </row>
    <row r="62">
      <c r="A62" t="inlineStr">
        <is>
          <t>WV</t>
        </is>
      </c>
      <c r="B62" t="n">
        <v>590</v>
      </c>
      <c r="C62" t="n">
        <v>0.043</v>
      </c>
      <c r="D62">
        <f>B62*0.277778/(1-C62)</f>
        <v/>
      </c>
      <c r="E62" t="n">
        <v>15.5</v>
      </c>
      <c r="F62">
        <f>D62+E62</f>
        <v/>
      </c>
    </row>
    <row r="63">
      <c r="A63" t="inlineStr">
        <is>
          <t>WI</t>
        </is>
      </c>
      <c r="B63" t="n">
        <v>370</v>
      </c>
      <c r="C63" t="n">
        <v>0.041</v>
      </c>
      <c r="D63">
        <f>B63*0.277778/(1-C63)</f>
        <v/>
      </c>
      <c r="E63" t="n">
        <v>13.5</v>
      </c>
      <c r="F63">
        <f>D63+E63</f>
        <v/>
      </c>
    </row>
    <row r="64">
      <c r="A64" t="inlineStr">
        <is>
          <t>WY</t>
        </is>
      </c>
      <c r="B64" t="n">
        <v>590</v>
      </c>
      <c r="C64" t="n">
        <v>0.041</v>
      </c>
      <c r="D64">
        <f>B64*0.277778/(1-C64)</f>
        <v/>
      </c>
      <c r="E64" t="n">
        <v>15</v>
      </c>
      <c r="F64">
        <f>D64+E64</f>
        <v/>
      </c>
    </row>
    <row r="65">
      <c r="A65" t="inlineStr">
        <is>
          <t>DC</t>
        </is>
      </c>
      <c r="B65" t="n">
        <v>272</v>
      </c>
      <c r="C65" t="n">
        <v>0.04</v>
      </c>
      <c r="D65">
        <f>B65*0.277778/(1-C65)</f>
        <v/>
      </c>
      <c r="E65" t="n">
        <v>14</v>
      </c>
      <c r="F65">
        <f>D65+E65</f>
        <v/>
      </c>
    </row>
    <row r="66">
      <c r="A66" t="inlineStr">
        <is>
          <t>PR</t>
        </is>
      </c>
      <c r="B66" t="n">
        <v>726</v>
      </c>
      <c r="C66" t="n">
        <v>0.06</v>
      </c>
      <c r="D66">
        <f>B66*0.277778/(1-C66)</f>
        <v/>
      </c>
      <c r="E66" t="n">
        <v>22</v>
      </c>
      <c r="F66">
        <f>D66+E66</f>
        <v/>
      </c>
    </row>
    <row r="67">
      <c r="A67" t="inlineStr">
        <is>
          <t>VI</t>
        </is>
      </c>
      <c r="B67" t="n">
        <v>770</v>
      </c>
      <c r="C67" t="n">
        <v>0.06</v>
      </c>
      <c r="D67">
        <f>B67*0.277778/(1-C67)</f>
        <v/>
      </c>
      <c r="E67" t="n">
        <v>24</v>
      </c>
      <c r="F67">
        <f>D67+E67</f>
        <v/>
      </c>
    </row>
    <row r="68">
      <c r="A68" t="inlineStr">
        <is>
          <t>Combustion (D): CA = ECCC Emission Factors 2024, Table 5.2 consumption intensity (delivered basis, grid_loss=0); US = eGRID2023 state output rates grossed up for grid gross loss (subregion-level; CO/MI/NY/WA original, others eGRID2023 Rev 2). Upstream (E): Σ(generation share × heat rate × GREET/RESNET upstream factor) per delivered kWh (CER 2023 provincial mix; eGRID2023 state mix for US). lifecycle = combustion + upstream (USED in calc).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28" min="1" max="2"/>
    <col width="9" customWidth="1" style="28" min="3" max="12"/>
    <col width="50" customWidth="1" style="28" min="13" max="13"/>
    <col width="15" customWidth="1" style="28" min="14" max="14"/>
  </cols>
  <sheetData>
    <row r="1" ht="20.1" customHeight="1" s="28">
      <c r="A1" s="31" t="inlineStr">
        <is>
          <t>P_Vehicle — Vehicle Lifecycle Emission Factors  (kg CO₂e / km driven)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6" t="n"/>
    </row>
    <row r="2" ht="36" customHeight="1" s="28">
      <c r="A2" s="20" t="inlineStr">
        <is>
          <t>Jurisdiction</t>
        </is>
      </c>
      <c r="B2" s="20" t="inlineStr">
        <is>
          <t>Grid Lifecycle
(kgCO₂e/GJ)</t>
        </is>
      </c>
      <c r="C2" s="20" t="inlineStr">
        <is>
          <t>Gas
Truck</t>
        </is>
      </c>
      <c r="D2" s="20" t="inlineStr">
        <is>
          <t>Gas
Car</t>
        </is>
      </c>
      <c r="E2" s="20" t="inlineStr">
        <is>
          <t>Diesel
Truck</t>
        </is>
      </c>
      <c r="F2" s="20" t="inlineStr">
        <is>
          <t>Diesel
Car</t>
        </is>
      </c>
      <c r="G2" s="20" t="inlineStr">
        <is>
          <t>HEV
Truck</t>
        </is>
      </c>
      <c r="H2" s="20" t="inlineStr">
        <is>
          <t>HEV
Car</t>
        </is>
      </c>
      <c r="I2" s="20" t="inlineStr">
        <is>
          <t>PHEV*
Truck</t>
        </is>
      </c>
      <c r="J2" s="20" t="inlineStr">
        <is>
          <t>PHEV*
Car</t>
        </is>
      </c>
      <c r="K2" s="20" t="inlineStr">
        <is>
          <t>EV*
Truck</t>
        </is>
      </c>
      <c r="L2" s="20" t="inlineStr">
        <is>
          <t>EV*
Car</t>
        </is>
      </c>
      <c r="M2" s="20" t="inlineStr">
        <is>
          <t>Value Source</t>
        </is>
      </c>
      <c r="N2" s="20" t="inlineStr">
        <is>
          <t>Notes</t>
        </is>
      </c>
    </row>
    <row r="3" ht="15.95" customHeight="1" s="28">
      <c r="A3" s="32" t="inlineStr">
        <is>
          <t>-&gt; fuel type:</t>
        </is>
      </c>
      <c r="B3" s="36" t="n"/>
      <c r="C3" s="29" t="inlineStr">
        <is>
          <t>Gasoline</t>
        </is>
      </c>
      <c r="D3" s="36" t="n"/>
      <c r="E3" s="29" t="inlineStr">
        <is>
          <t>Diesel</t>
        </is>
      </c>
      <c r="F3" s="36" t="n"/>
      <c r="G3" s="29" t="inlineStr">
        <is>
          <t>HEV (non-plug)</t>
        </is>
      </c>
      <c r="H3" s="36" t="n"/>
      <c r="I3" s="29" t="inlineStr">
        <is>
          <t>PHEV* (grid-dep)</t>
        </is>
      </c>
      <c r="J3" s="36" t="n"/>
      <c r="K3" s="29" t="inlineStr">
        <is>
          <t>BEV* (grid-dep)</t>
        </is>
      </c>
      <c r="L3" s="36" t="n"/>
      <c r="M3" s="30" t="n"/>
      <c r="N3" s="30" t="n"/>
    </row>
    <row r="4">
      <c r="A4" s="34" t="inlineStr">
        <is>
          <t>CANADA -- provinces and territories</t>
        </is>
      </c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6" t="n"/>
    </row>
    <row r="5">
      <c r="A5" s="22" t="inlineStr">
        <is>
          <t>QC</t>
        </is>
      </c>
      <c r="B5" s="29" t="n">
        <v>0.7</v>
      </c>
      <c r="C5" s="23" t="n">
        <v>0.315</v>
      </c>
      <c r="D5" s="23" t="n">
        <v>0.215</v>
      </c>
      <c r="E5" s="23" t="n">
        <v>0.266</v>
      </c>
      <c r="F5" s="23" t="n">
        <v>0.181</v>
      </c>
      <c r="G5" s="23" t="n">
        <v>0.219</v>
      </c>
      <c r="H5" s="23" t="n">
        <v>0.144</v>
      </c>
      <c r="I5" s="23" t="n">
        <v>0.116</v>
      </c>
      <c r="J5" s="23" t="n">
        <v>0.081</v>
      </c>
      <c r="K5" s="23" t="n">
        <v>0.064</v>
      </c>
      <c r="L5" s="23" t="n">
        <v>0.04</v>
      </c>
      <c r="M5" s="22" t="inlineStr">
        <is>
          <t>Exact — Table 17 (original AFLEET study)</t>
        </is>
      </c>
      <c r="N5" s="22" t="n"/>
    </row>
    <row r="6">
      <c r="A6" s="22" t="inlineStr">
        <is>
          <t>ON</t>
        </is>
      </c>
      <c r="B6" s="29" t="n">
        <v>14</v>
      </c>
      <c r="C6" s="23" t="n">
        <v>0.315</v>
      </c>
      <c r="D6" s="23" t="n">
        <v>0.215</v>
      </c>
      <c r="E6" s="23" t="n">
        <v>0.266</v>
      </c>
      <c r="F6" s="23" t="n">
        <v>0.181</v>
      </c>
      <c r="G6" s="23" t="n">
        <v>0.219</v>
      </c>
      <c r="H6" s="23" t="n">
        <v>0.144</v>
      </c>
      <c r="I6" s="23" t="n">
        <v>0.117</v>
      </c>
      <c r="J6" s="23" t="n">
        <v>0.082</v>
      </c>
      <c r="K6" s="23" t="n">
        <v>0.067</v>
      </c>
      <c r="L6" s="23" t="n">
        <v>0.042</v>
      </c>
      <c r="M6" s="22" t="inlineStr">
        <is>
          <t>Exact — Table 17 (original AFLEET study)</t>
        </is>
      </c>
      <c r="N6" s="22" t="n"/>
    </row>
    <row r="7">
      <c r="A7" s="22" t="inlineStr">
        <is>
          <t>AB</t>
        </is>
      </c>
      <c r="B7" s="29" t="n">
        <v>158.8</v>
      </c>
      <c r="C7" s="23" t="n">
        <v>0.315</v>
      </c>
      <c r="D7" s="23" t="n">
        <v>0.215</v>
      </c>
      <c r="E7" s="23" t="n">
        <v>0.266</v>
      </c>
      <c r="F7" s="23" t="n">
        <v>0.181</v>
      </c>
      <c r="G7" s="23" t="n">
        <v>0.219</v>
      </c>
      <c r="H7" s="23" t="n">
        <v>0.144</v>
      </c>
      <c r="I7" s="23" t="n">
        <v>0.123</v>
      </c>
      <c r="J7" s="23" t="n">
        <v>0.08599999999999999</v>
      </c>
      <c r="K7" s="23" t="n">
        <v>0.082</v>
      </c>
      <c r="L7" s="23" t="n">
        <v>0.051</v>
      </c>
      <c r="M7" s="22" t="inlineStr">
        <is>
          <t>Exact — Table 17 (original AFLEET study)</t>
        </is>
      </c>
      <c r="N7" s="22" t="n"/>
    </row>
    <row r="8">
      <c r="A8" s="22" t="inlineStr">
        <is>
          <t>BC</t>
        </is>
      </c>
      <c r="B8" s="29" t="n">
        <v>5.5</v>
      </c>
      <c r="C8" s="23" t="n">
        <v>0.315</v>
      </c>
      <c r="D8" s="23" t="n">
        <v>0.215</v>
      </c>
      <c r="E8" s="23" t="n">
        <v>0.266</v>
      </c>
      <c r="F8" s="23" t="n">
        <v>0.181</v>
      </c>
      <c r="G8" s="23" t="n">
        <v>0.219</v>
      </c>
      <c r="H8" s="23" t="n">
        <v>0.144</v>
      </c>
      <c r="I8" s="23" t="n">
        <v>0.116</v>
      </c>
      <c r="J8" s="23" t="n">
        <v>0.081</v>
      </c>
      <c r="K8" s="23" t="n">
        <v>0.064</v>
      </c>
      <c r="L8" s="23" t="n">
        <v>0.04</v>
      </c>
      <c r="M8" s="22" t="inlineStr">
        <is>
          <t>Exact — Table 17 (original AFLEET study)</t>
        </is>
      </c>
      <c r="N8" s="22" t="n"/>
    </row>
    <row r="9">
      <c r="A9" s="22" t="inlineStr">
        <is>
          <t>MB</t>
        </is>
      </c>
      <c r="B9" s="29" t="n">
        <v>0.6</v>
      </c>
      <c r="C9" s="24" t="n">
        <v>0.315</v>
      </c>
      <c r="D9" s="24" t="n">
        <v>0.215</v>
      </c>
      <c r="E9" s="24" t="n">
        <v>0.266</v>
      </c>
      <c r="F9" s="24" t="n">
        <v>0.181</v>
      </c>
      <c r="G9" s="24" t="n">
        <v>0.219</v>
      </c>
      <c r="H9" s="24" t="n">
        <v>0.144</v>
      </c>
      <c r="I9" s="24" t="n">
        <v>0.116</v>
      </c>
      <c r="J9" s="24" t="n">
        <v>0.081</v>
      </c>
      <c r="K9" s="24" t="n">
        <v>0.064</v>
      </c>
      <c r="L9" s="24" t="n">
        <v>0.04</v>
      </c>
      <c r="M9" s="22" t="inlineStr">
        <is>
          <t>Table 16 blend: 100% VT-surrogate</t>
        </is>
      </c>
      <c r="N9" s="22" t="n"/>
    </row>
    <row r="10">
      <c r="A10" s="22" t="inlineStr">
        <is>
          <t>SK</t>
        </is>
      </c>
      <c r="B10" s="29" t="n">
        <v>206.9</v>
      </c>
      <c r="C10" s="24" t="n">
        <v>0.315</v>
      </c>
      <c r="D10" s="24" t="n">
        <v>0.215</v>
      </c>
      <c r="E10" s="24" t="n">
        <v>0.266</v>
      </c>
      <c r="F10" s="24" t="n">
        <v>0.181</v>
      </c>
      <c r="G10" s="24" t="n">
        <v>0.219</v>
      </c>
      <c r="H10" s="24" t="n">
        <v>0.144</v>
      </c>
      <c r="I10" s="24" t="n">
        <v>0.123</v>
      </c>
      <c r="J10" s="24" t="n">
        <v>0.08599999999999999</v>
      </c>
      <c r="K10" s="24" t="n">
        <v>0.081</v>
      </c>
      <c r="L10" s="24" t="n">
        <v>0.05</v>
      </c>
      <c r="M10" s="22" t="inlineStr">
        <is>
          <t>Table 16 blend: 100% CO (ceiling)</t>
        </is>
      </c>
      <c r="N10" s="22" t="n"/>
    </row>
    <row r="11">
      <c r="A11" s="22" t="inlineStr">
        <is>
          <t>NS</t>
        </is>
      </c>
      <c r="B11" s="29" t="n">
        <v>178.6</v>
      </c>
      <c r="C11" s="24" t="n">
        <v>0.315</v>
      </c>
      <c r="D11" s="24" t="n">
        <v>0.215</v>
      </c>
      <c r="E11" s="24" t="n">
        <v>0.266</v>
      </c>
      <c r="F11" s="24" t="n">
        <v>0.181</v>
      </c>
      <c r="G11" s="24" t="n">
        <v>0.219</v>
      </c>
      <c r="H11" s="24" t="n">
        <v>0.144</v>
      </c>
      <c r="I11" s="24" t="n">
        <v>0.123</v>
      </c>
      <c r="J11" s="24" t="n">
        <v>0.08599999999999999</v>
      </c>
      <c r="K11" s="24" t="n">
        <v>0.081</v>
      </c>
      <c r="L11" s="24" t="n">
        <v>0.05</v>
      </c>
      <c r="M11" s="22" t="inlineStr">
        <is>
          <t>Table 16 blend: 100% CO (ceiling)</t>
        </is>
      </c>
      <c r="N11" s="22" t="n"/>
    </row>
    <row r="12">
      <c r="A12" s="22" t="inlineStr">
        <is>
          <t>NB</t>
        </is>
      </c>
      <c r="B12" s="29" t="n">
        <v>63</v>
      </c>
      <c r="C12" s="24" t="n">
        <v>0.315</v>
      </c>
      <c r="D12" s="24" t="n">
        <v>0.215</v>
      </c>
      <c r="E12" s="24" t="n">
        <v>0.266</v>
      </c>
      <c r="F12" s="24" t="n">
        <v>0.181</v>
      </c>
      <c r="G12" s="24" t="n">
        <v>0.219</v>
      </c>
      <c r="H12" s="24" t="n">
        <v>0.144</v>
      </c>
      <c r="I12" s="24" t="n">
        <v>0.119</v>
      </c>
      <c r="J12" s="24" t="n">
        <v>0.083</v>
      </c>
      <c r="K12" s="24" t="n">
        <v>0.07000000000000001</v>
      </c>
      <c r="L12" s="24" t="n">
        <v>0.044</v>
      </c>
      <c r="M12" s="22" t="inlineStr">
        <is>
          <t>Table 16 blend: 36.8%WA+63.2%NY</t>
        </is>
      </c>
      <c r="N12" s="22" t="n"/>
    </row>
    <row r="13">
      <c r="A13" s="22" t="inlineStr">
        <is>
          <t>NL</t>
        </is>
      </c>
      <c r="B13" s="29" t="n">
        <v>7.1</v>
      </c>
      <c r="C13" s="24" t="n">
        <v>0.315</v>
      </c>
      <c r="D13" s="24" t="n">
        <v>0.215</v>
      </c>
      <c r="E13" s="24" t="n">
        <v>0.266</v>
      </c>
      <c r="F13" s="24" t="n">
        <v>0.181</v>
      </c>
      <c r="G13" s="24" t="n">
        <v>0.219</v>
      </c>
      <c r="H13" s="24" t="n">
        <v>0.144</v>
      </c>
      <c r="I13" s="24" t="n">
        <v>0.116</v>
      </c>
      <c r="J13" s="24" t="n">
        <v>0.081</v>
      </c>
      <c r="K13" s="24" t="n">
        <v>0.064</v>
      </c>
      <c r="L13" s="24" t="n">
        <v>0.04</v>
      </c>
      <c r="M13" s="22" t="inlineStr">
        <is>
          <t>Table 16 blend: 99.4%VT(VT)+0.6%WA</t>
        </is>
      </c>
      <c r="N13" s="22" t="n"/>
    </row>
    <row r="14">
      <c r="A14" s="22" t="inlineStr">
        <is>
          <t>PE</t>
        </is>
      </c>
      <c r="B14" s="29" t="n">
        <v>87.40000000000001</v>
      </c>
      <c r="C14" s="24" t="n">
        <v>0.315</v>
      </c>
      <c r="D14" s="24" t="n">
        <v>0.215</v>
      </c>
      <c r="E14" s="24" t="n">
        <v>0.266</v>
      </c>
      <c r="F14" s="24" t="n">
        <v>0.181</v>
      </c>
      <c r="G14" s="24" t="n">
        <v>0.219</v>
      </c>
      <c r="H14" s="24" t="n">
        <v>0.144</v>
      </c>
      <c r="I14" s="24" t="n">
        <v>0.122</v>
      </c>
      <c r="J14" s="24" t="n">
        <v>0.08500000000000001</v>
      </c>
      <c r="K14" s="24" t="n">
        <v>0.078</v>
      </c>
      <c r="L14" s="24" t="n">
        <v>0.049</v>
      </c>
      <c r="M14" s="22" t="inlineStr">
        <is>
          <t>Table 16 blend: 76.2%NY+23.8%MI</t>
        </is>
      </c>
      <c r="N14" s="22" t="n"/>
    </row>
    <row r="15">
      <c r="A15" s="22" t="inlineStr">
        <is>
          <t>YT</t>
        </is>
      </c>
      <c r="B15" s="29" t="n">
        <v>14.6</v>
      </c>
      <c r="C15" s="24" t="n">
        <v>0.315</v>
      </c>
      <c r="D15" s="24" t="n">
        <v>0.215</v>
      </c>
      <c r="E15" s="24" t="n">
        <v>0.266</v>
      </c>
      <c r="F15" s="24" t="n">
        <v>0.181</v>
      </c>
      <c r="G15" s="24" t="n">
        <v>0.219</v>
      </c>
      <c r="H15" s="24" t="n">
        <v>0.144</v>
      </c>
      <c r="I15" s="24" t="n">
        <v>0.118</v>
      </c>
      <c r="J15" s="24" t="n">
        <v>0.082</v>
      </c>
      <c r="K15" s="24" t="n">
        <v>0.068</v>
      </c>
      <c r="L15" s="24" t="n">
        <v>0.042</v>
      </c>
      <c r="M15" s="22" t="inlineStr">
        <is>
          <t>Table 16 blend: 76.9%VT(VT)+23.1%WA</t>
        </is>
      </c>
      <c r="N15" s="22" t="n"/>
    </row>
    <row r="16">
      <c r="A16" s="22" t="inlineStr">
        <is>
          <t>NT</t>
        </is>
      </c>
      <c r="B16" s="29" t="n">
        <v>105.8</v>
      </c>
      <c r="C16" s="24" t="n">
        <v>0.315</v>
      </c>
      <c r="D16" s="24" t="n">
        <v>0.215</v>
      </c>
      <c r="E16" s="24" t="n">
        <v>0.266</v>
      </c>
      <c r="F16" s="24" t="n">
        <v>0.181</v>
      </c>
      <c r="G16" s="24" t="n">
        <v>0.219</v>
      </c>
      <c r="H16" s="24" t="n">
        <v>0.144</v>
      </c>
      <c r="I16" s="24" t="n">
        <v>0.131</v>
      </c>
      <c r="J16" s="24" t="n">
        <v>0.092</v>
      </c>
      <c r="K16" s="24" t="n">
        <v>0.102</v>
      </c>
      <c r="L16" s="24" t="n">
        <v>0.063</v>
      </c>
      <c r="M16" s="22" t="inlineStr">
        <is>
          <t>Table 16 blend: 37.3%NY+62.7%MI</t>
        </is>
      </c>
      <c r="N16" s="22" t="n"/>
    </row>
    <row r="17">
      <c r="A17" s="22" t="inlineStr">
        <is>
          <t>NU</t>
        </is>
      </c>
      <c r="B17" s="29" t="n">
        <v>250.7</v>
      </c>
      <c r="C17" s="24" t="n">
        <v>0.315</v>
      </c>
      <c r="D17" s="24" t="n">
        <v>0.215</v>
      </c>
      <c r="E17" s="24" t="n">
        <v>0.266</v>
      </c>
      <c r="F17" s="24" t="n">
        <v>0.181</v>
      </c>
      <c r="G17" s="24" t="n">
        <v>0.219</v>
      </c>
      <c r="H17" s="24" t="n">
        <v>0.144</v>
      </c>
      <c r="I17" s="24" t="n">
        <v>0.123</v>
      </c>
      <c r="J17" s="24" t="n">
        <v>0.08599999999999999</v>
      </c>
      <c r="K17" s="24" t="n">
        <v>0.081</v>
      </c>
      <c r="L17" s="24" t="n">
        <v>0.05</v>
      </c>
      <c r="M17" s="22" t="inlineStr">
        <is>
          <t>Table 16 blend: 100% CO (ceiling)</t>
        </is>
      </c>
      <c r="N17" s="22" t="n"/>
    </row>
    <row r="18">
      <c r="A18" s="33" t="inlineStr">
        <is>
          <t>UNITED STATES -- all 50 states + DC</t>
        </is>
      </c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6" t="n"/>
    </row>
    <row r="19">
      <c r="A19" s="22" t="inlineStr">
        <is>
          <t>CO</t>
        </is>
      </c>
      <c r="B19" s="29" t="n">
        <v>153.4</v>
      </c>
      <c r="C19" s="23" t="n">
        <v>0.315</v>
      </c>
      <c r="D19" s="23" t="n">
        <v>0.215</v>
      </c>
      <c r="E19" s="23" t="n">
        <v>0.266</v>
      </c>
      <c r="F19" s="23" t="n">
        <v>0.181</v>
      </c>
      <c r="G19" s="23" t="n">
        <v>0.219</v>
      </c>
      <c r="H19" s="23" t="n">
        <v>0.144</v>
      </c>
      <c r="I19" s="23" t="n">
        <v>0.123</v>
      </c>
      <c r="J19" s="23" t="n">
        <v>0.08599999999999999</v>
      </c>
      <c r="K19" s="23" t="n">
        <v>0.081</v>
      </c>
      <c r="L19" s="23" t="n">
        <v>0.05</v>
      </c>
      <c r="M19" s="22" t="inlineStr">
        <is>
          <t>Exact — Table 17 (original AFLEET study)</t>
        </is>
      </c>
      <c r="N19" s="22" t="n"/>
    </row>
    <row r="20">
      <c r="A20" s="22" t="inlineStr">
        <is>
          <t>MI</t>
        </is>
      </c>
      <c r="B20" s="29" t="n">
        <v>119</v>
      </c>
      <c r="C20" s="23" t="n">
        <v>0.315</v>
      </c>
      <c r="D20" s="23" t="n">
        <v>0.215</v>
      </c>
      <c r="E20" s="23" t="n">
        <v>0.266</v>
      </c>
      <c r="F20" s="23" t="n">
        <v>0.181</v>
      </c>
      <c r="G20" s="23" t="n">
        <v>0.219</v>
      </c>
      <c r="H20" s="23" t="n">
        <v>0.144</v>
      </c>
      <c r="I20" s="23" t="n">
        <v>0.14</v>
      </c>
      <c r="J20" s="23" t="n">
        <v>0.098</v>
      </c>
      <c r="K20" s="23" t="n">
        <v>0.124</v>
      </c>
      <c r="L20" s="23" t="n">
        <v>0.077</v>
      </c>
      <c r="M20" s="22" t="inlineStr">
        <is>
          <t>Exact — Table 17 (original AFLEET study)</t>
        </is>
      </c>
      <c r="N20" s="22" t="n"/>
    </row>
    <row r="21">
      <c r="A21" s="22" t="inlineStr">
        <is>
          <t>NY</t>
        </is>
      </c>
      <c r="B21" s="29" t="n">
        <v>73.59999999999999</v>
      </c>
      <c r="C21" s="23" t="n">
        <v>0.315</v>
      </c>
      <c r="D21" s="23" t="n">
        <v>0.215</v>
      </c>
      <c r="E21" s="23" t="n">
        <v>0.266</v>
      </c>
      <c r="F21" s="23" t="n">
        <v>0.181</v>
      </c>
      <c r="G21" s="23" t="n">
        <v>0.219</v>
      </c>
      <c r="H21" s="23" t="n">
        <v>0.144</v>
      </c>
      <c r="I21" s="23" t="n">
        <v>0.116</v>
      </c>
      <c r="J21" s="23" t="n">
        <v>0.081</v>
      </c>
      <c r="K21" s="23" t="n">
        <v>0.064</v>
      </c>
      <c r="L21" s="23" t="n">
        <v>0.04</v>
      </c>
      <c r="M21" s="22" t="inlineStr">
        <is>
          <t>Exact — Table 17 (original AFLEET study)</t>
        </is>
      </c>
      <c r="N21" s="22" t="n"/>
    </row>
    <row r="22">
      <c r="A22" s="22" t="inlineStr">
        <is>
          <t>WA</t>
        </is>
      </c>
      <c r="B22" s="29" t="n">
        <v>40.3</v>
      </c>
      <c r="C22" s="23" t="n">
        <v>0.315</v>
      </c>
      <c r="D22" s="23" t="n">
        <v>0.215</v>
      </c>
      <c r="E22" s="23" t="n">
        <v>0.266</v>
      </c>
      <c r="F22" s="23" t="n">
        <v>0.181</v>
      </c>
      <c r="G22" s="23" t="n">
        <v>0.219</v>
      </c>
      <c r="H22" s="23" t="n">
        <v>0.144</v>
      </c>
      <c r="I22" s="23" t="n">
        <v>0.123</v>
      </c>
      <c r="J22" s="23" t="n">
        <v>0.08599999999999999</v>
      </c>
      <c r="K22" s="23" t="n">
        <v>0.081</v>
      </c>
      <c r="L22" s="23" t="n">
        <v>0.05</v>
      </c>
      <c r="M22" s="22" t="inlineStr">
        <is>
          <t>Exact — Table 17 (original AFLEET study)</t>
        </is>
      </c>
      <c r="N22" s="22" t="n"/>
    </row>
    <row r="23">
      <c r="A23" s="22" t="inlineStr">
        <is>
          <t>AL</t>
        </is>
      </c>
      <c r="B23" s="29" t="n">
        <v>125.5</v>
      </c>
      <c r="C23" s="25" t="n">
        <v>0.315</v>
      </c>
      <c r="D23" s="25" t="n">
        <v>0.215</v>
      </c>
      <c r="E23" s="25" t="n">
        <v>0.266</v>
      </c>
      <c r="F23" s="25" t="n">
        <v>0.181</v>
      </c>
      <c r="G23" s="25" t="n">
        <v>0.219</v>
      </c>
      <c r="H23" s="25" t="n">
        <v>0.144</v>
      </c>
      <c r="I23" s="25" t="n">
        <v>0.133</v>
      </c>
      <c r="J23" s="25" t="n">
        <v>0.1</v>
      </c>
      <c r="K23" s="25" t="n">
        <v>0.134</v>
      </c>
      <c r="L23" s="25" t="n">
        <v>0.083</v>
      </c>
      <c r="M23" s="22" t="inlineStr">
        <is>
          <t>AFLEET_2024 — SERC region (elecSrc 8)</t>
        </is>
      </c>
      <c r="N23" s="22" t="n"/>
    </row>
    <row r="24">
      <c r="A24" s="22" t="inlineStr">
        <is>
          <t>AK</t>
        </is>
      </c>
      <c r="B24" s="29" t="n">
        <v>129</v>
      </c>
      <c r="C24" s="25" t="n">
        <v>0.315</v>
      </c>
      <c r="D24" s="25" t="n">
        <v>0.215</v>
      </c>
      <c r="E24" s="25" t="n">
        <v>0.266</v>
      </c>
      <c r="F24" s="25" t="n">
        <v>0.181</v>
      </c>
      <c r="G24" s="25" t="n">
        <v>0.219</v>
      </c>
      <c r="H24" s="25" t="n">
        <v>0.144</v>
      </c>
      <c r="I24" s="25" t="n">
        <v>0.138</v>
      </c>
      <c r="J24" s="25" t="n">
        <v>0.106</v>
      </c>
      <c r="K24" s="25" t="n">
        <v>0.152</v>
      </c>
      <c r="L24" s="25" t="n">
        <v>0.095</v>
      </c>
      <c r="M24" s="22" t="inlineStr">
        <is>
          <t>AFLEET_2024 — ASCC region (elecSrc 2)</t>
        </is>
      </c>
      <c r="N24" s="22" t="n"/>
    </row>
    <row r="25">
      <c r="A25" s="22" t="inlineStr">
        <is>
          <t>AZ</t>
        </is>
      </c>
      <c r="B25" s="29" t="n">
        <v>103.7</v>
      </c>
      <c r="C25" s="25" t="n">
        <v>0.315</v>
      </c>
      <c r="D25" s="25" t="n">
        <v>0.215</v>
      </c>
      <c r="E25" s="25" t="n">
        <v>0.266</v>
      </c>
      <c r="F25" s="25" t="n">
        <v>0.181</v>
      </c>
      <c r="G25" s="25" t="n">
        <v>0.219</v>
      </c>
      <c r="H25" s="25" t="n">
        <v>0.144</v>
      </c>
      <c r="I25" s="25" t="n">
        <v>0.119</v>
      </c>
      <c r="J25" s="25" t="n">
        <v>0.08599999999999999</v>
      </c>
      <c r="K25" s="25" t="n">
        <v>0.081</v>
      </c>
      <c r="L25" s="25" t="n">
        <v>0.05</v>
      </c>
      <c r="M25" s="22" t="inlineStr">
        <is>
          <t>AFLEET_2024 — WECC region (elecSrc 11)</t>
        </is>
      </c>
      <c r="N25" s="22" t="n"/>
    </row>
    <row r="26">
      <c r="A26" s="22" t="inlineStr">
        <is>
          <t>AR</t>
        </is>
      </c>
      <c r="B26" s="29" t="n">
        <v>108.1</v>
      </c>
      <c r="C26" s="25" t="n">
        <v>0.315</v>
      </c>
      <c r="D26" s="25" t="n">
        <v>0.215</v>
      </c>
      <c r="E26" s="25" t="n">
        <v>0.266</v>
      </c>
      <c r="F26" s="25" t="n">
        <v>0.181</v>
      </c>
      <c r="G26" s="25" t="n">
        <v>0.219</v>
      </c>
      <c r="H26" s="25" t="n">
        <v>0.144</v>
      </c>
      <c r="I26" s="25" t="n">
        <v>0.133</v>
      </c>
      <c r="J26" s="25" t="n">
        <v>0.1</v>
      </c>
      <c r="K26" s="25" t="n">
        <v>0.134</v>
      </c>
      <c r="L26" s="25" t="n">
        <v>0.083</v>
      </c>
      <c r="M26" s="22" t="inlineStr">
        <is>
          <t>AFLEET_2024 — SERC region (elecSrc 8)</t>
        </is>
      </c>
      <c r="N26" s="22" t="n"/>
    </row>
    <row r="27">
      <c r="A27" s="22" t="inlineStr">
        <is>
          <t>CA</t>
        </is>
      </c>
      <c r="B27" s="29" t="n">
        <v>68</v>
      </c>
      <c r="C27" s="25" t="n">
        <v>0.315</v>
      </c>
      <c r="D27" s="25" t="n">
        <v>0.215</v>
      </c>
      <c r="E27" s="25" t="n">
        <v>0.266</v>
      </c>
      <c r="F27" s="25" t="n">
        <v>0.181</v>
      </c>
      <c r="G27" s="25" t="n">
        <v>0.219</v>
      </c>
      <c r="H27" s="25" t="n">
        <v>0.144</v>
      </c>
      <c r="I27" s="25" t="n">
        <v>0.119</v>
      </c>
      <c r="J27" s="25" t="n">
        <v>0.08599999999999999</v>
      </c>
      <c r="K27" s="25" t="n">
        <v>0.081</v>
      </c>
      <c r="L27" s="25" t="n">
        <v>0.05</v>
      </c>
      <c r="M27" s="22" t="inlineStr">
        <is>
          <t>AFLEET_2024 — WECC region (elecSrc 11)</t>
        </is>
      </c>
      <c r="N27" s="22" t="n"/>
    </row>
    <row r="28">
      <c r="A28" s="22" t="inlineStr">
        <is>
          <t>CT</t>
        </is>
      </c>
      <c r="B28" s="29" t="n">
        <v>62.9</v>
      </c>
      <c r="C28" s="25" t="n">
        <v>0.315</v>
      </c>
      <c r="D28" s="25" t="n">
        <v>0.215</v>
      </c>
      <c r="E28" s="25" t="n">
        <v>0.266</v>
      </c>
      <c r="F28" s="25" t="n">
        <v>0.181</v>
      </c>
      <c r="G28" s="25" t="n">
        <v>0.219</v>
      </c>
      <c r="H28" s="25" t="n">
        <v>0.144</v>
      </c>
      <c r="I28" s="25" t="n">
        <v>0.114</v>
      </c>
      <c r="J28" s="25" t="n">
        <v>0.081</v>
      </c>
      <c r="K28" s="25" t="n">
        <v>0.064</v>
      </c>
      <c r="L28" s="25" t="n">
        <v>0.04</v>
      </c>
      <c r="M28" s="22" t="inlineStr">
        <is>
          <t>AFLEET_2024 — NPCC region (elecSrc 6)</t>
        </is>
      </c>
      <c r="N28" s="22" t="n"/>
    </row>
    <row r="29">
      <c r="A29" s="22" t="inlineStr">
        <is>
          <t>DE</t>
        </is>
      </c>
      <c r="B29" s="29" t="n">
        <v>92.7</v>
      </c>
      <c r="C29" s="25" t="n">
        <v>0.315</v>
      </c>
      <c r="D29" s="25" t="n">
        <v>0.215</v>
      </c>
      <c r="E29" s="25" t="n">
        <v>0.266</v>
      </c>
      <c r="F29" s="25" t="n">
        <v>0.181</v>
      </c>
      <c r="G29" s="25" t="n">
        <v>0.219</v>
      </c>
      <c r="H29" s="25" t="n">
        <v>0.144</v>
      </c>
      <c r="I29" s="25" t="n">
        <v>0.13</v>
      </c>
      <c r="J29" s="25" t="n">
        <v>0.098</v>
      </c>
      <c r="K29" s="25" t="n">
        <v>0.124</v>
      </c>
      <c r="L29" s="25" t="n">
        <v>0.077</v>
      </c>
      <c r="M29" s="22" t="inlineStr">
        <is>
          <t>AFLEET_2024 — RFC region (elecSrc 7)</t>
        </is>
      </c>
      <c r="N29" s="22" t="n"/>
    </row>
    <row r="30">
      <c r="A30" s="22" t="inlineStr">
        <is>
          <t>FL</t>
        </is>
      </c>
      <c r="B30" s="29" t="n">
        <v>116.6</v>
      </c>
      <c r="C30" s="25" t="n">
        <v>0.315</v>
      </c>
      <c r="D30" s="25" t="n">
        <v>0.215</v>
      </c>
      <c r="E30" s="25" t="n">
        <v>0.266</v>
      </c>
      <c r="F30" s="25" t="n">
        <v>0.181</v>
      </c>
      <c r="G30" s="25" t="n">
        <v>0.219</v>
      </c>
      <c r="H30" s="25" t="n">
        <v>0.144</v>
      </c>
      <c r="I30" s="25" t="n">
        <v>0.132</v>
      </c>
      <c r="J30" s="25" t="n">
        <v>0.099</v>
      </c>
      <c r="K30" s="25" t="n">
        <v>0.13</v>
      </c>
      <c r="L30" s="25" t="n">
        <v>0.081</v>
      </c>
      <c r="M30" s="22" t="inlineStr">
        <is>
          <t>AFLEET_2024 — FRCC region (elecSrc 3)</t>
        </is>
      </c>
      <c r="N30" s="22" t="n"/>
    </row>
    <row r="31">
      <c r="A31" s="22" t="inlineStr">
        <is>
          <t>GA</t>
        </is>
      </c>
      <c r="B31" s="29" t="n">
        <v>112.9</v>
      </c>
      <c r="C31" s="25" t="n">
        <v>0.315</v>
      </c>
      <c r="D31" s="25" t="n">
        <v>0.215</v>
      </c>
      <c r="E31" s="25" t="n">
        <v>0.266</v>
      </c>
      <c r="F31" s="25" t="n">
        <v>0.181</v>
      </c>
      <c r="G31" s="25" t="n">
        <v>0.219</v>
      </c>
      <c r="H31" s="25" t="n">
        <v>0.144</v>
      </c>
      <c r="I31" s="25" t="n">
        <v>0.133</v>
      </c>
      <c r="J31" s="25" t="n">
        <v>0.1</v>
      </c>
      <c r="K31" s="25" t="n">
        <v>0.134</v>
      </c>
      <c r="L31" s="25" t="n">
        <v>0.083</v>
      </c>
      <c r="M31" s="22" t="inlineStr">
        <is>
          <t>AFLEET_2024 — SERC region (elecSrc 8)</t>
        </is>
      </c>
      <c r="N31" s="22" t="n"/>
    </row>
    <row r="32">
      <c r="A32" s="22" t="inlineStr">
        <is>
          <t>HI</t>
        </is>
      </c>
      <c r="B32" s="29" t="n">
        <v>193.8</v>
      </c>
      <c r="C32" s="25" t="n">
        <v>0.315</v>
      </c>
      <c r="D32" s="25" t="n">
        <v>0.215</v>
      </c>
      <c r="E32" s="25" t="n">
        <v>0.266</v>
      </c>
      <c r="F32" s="25" t="n">
        <v>0.181</v>
      </c>
      <c r="G32" s="25" t="n">
        <v>0.219</v>
      </c>
      <c r="H32" s="25" t="n">
        <v>0.144</v>
      </c>
      <c r="I32" s="25" t="n">
        <v>0.162</v>
      </c>
      <c r="J32" s="25" t="n">
        <v>0.129</v>
      </c>
      <c r="K32" s="25" t="n">
        <v>0.236</v>
      </c>
      <c r="L32" s="25" t="n">
        <v>0.147</v>
      </c>
      <c r="M32" s="22" t="inlineStr">
        <is>
          <t>AFLEET_2024 — HICC region (elecSrc 4)</t>
        </is>
      </c>
      <c r="N32" s="22" t="n"/>
    </row>
    <row r="33">
      <c r="A33" s="22" t="inlineStr">
        <is>
          <t>ID</t>
        </is>
      </c>
      <c r="B33" s="29" t="n">
        <v>26.7</v>
      </c>
      <c r="C33" s="25" t="n">
        <v>0.315</v>
      </c>
      <c r="D33" s="25" t="n">
        <v>0.215</v>
      </c>
      <c r="E33" s="25" t="n">
        <v>0.266</v>
      </c>
      <c r="F33" s="25" t="n">
        <v>0.181</v>
      </c>
      <c r="G33" s="25" t="n">
        <v>0.219</v>
      </c>
      <c r="H33" s="25" t="n">
        <v>0.144</v>
      </c>
      <c r="I33" s="25" t="n">
        <v>0.119</v>
      </c>
      <c r="J33" s="25" t="n">
        <v>0.08599999999999999</v>
      </c>
      <c r="K33" s="25" t="n">
        <v>0.081</v>
      </c>
      <c r="L33" s="25" t="n">
        <v>0.05</v>
      </c>
      <c r="M33" s="22" t="inlineStr">
        <is>
          <t>AFLEET_2024 — WECC region (elecSrc 11)</t>
        </is>
      </c>
      <c r="N33" s="22" t="n"/>
    </row>
    <row r="34">
      <c r="A34" s="22" t="inlineStr">
        <is>
          <t>IL</t>
        </is>
      </c>
      <c r="B34" s="29" t="n">
        <v>108.7</v>
      </c>
      <c r="C34" s="25" t="n">
        <v>0.315</v>
      </c>
      <c r="D34" s="25" t="n">
        <v>0.215</v>
      </c>
      <c r="E34" s="25" t="n">
        <v>0.266</v>
      </c>
      <c r="F34" s="25" t="n">
        <v>0.181</v>
      </c>
      <c r="G34" s="25" t="n">
        <v>0.219</v>
      </c>
      <c r="H34" s="25" t="n">
        <v>0.144</v>
      </c>
      <c r="I34" s="25" t="n">
        <v>0.13</v>
      </c>
      <c r="J34" s="25" t="n">
        <v>0.098</v>
      </c>
      <c r="K34" s="25" t="n">
        <v>0.124</v>
      </c>
      <c r="L34" s="25" t="n">
        <v>0.077</v>
      </c>
      <c r="M34" s="22" t="inlineStr">
        <is>
          <t>AFLEET_2024 — RFC region (elecSrc 7)</t>
        </is>
      </c>
      <c r="N34" s="22" t="n"/>
    </row>
    <row r="35">
      <c r="A35" s="22" t="inlineStr">
        <is>
          <t>IN</t>
        </is>
      </c>
      <c r="B35" s="29" t="n">
        <v>150.5</v>
      </c>
      <c r="C35" s="25" t="n">
        <v>0.315</v>
      </c>
      <c r="D35" s="25" t="n">
        <v>0.215</v>
      </c>
      <c r="E35" s="25" t="n">
        <v>0.266</v>
      </c>
      <c r="F35" s="25" t="n">
        <v>0.181</v>
      </c>
      <c r="G35" s="25" t="n">
        <v>0.219</v>
      </c>
      <c r="H35" s="25" t="n">
        <v>0.144</v>
      </c>
      <c r="I35" s="25" t="n">
        <v>0.13</v>
      </c>
      <c r="J35" s="25" t="n">
        <v>0.098</v>
      </c>
      <c r="K35" s="25" t="n">
        <v>0.124</v>
      </c>
      <c r="L35" s="25" t="n">
        <v>0.077</v>
      </c>
      <c r="M35" s="22" t="inlineStr">
        <is>
          <t>AFLEET_2024 — RFC region (elecSrc 7)</t>
        </is>
      </c>
      <c r="N35" s="22" t="n"/>
    </row>
    <row r="36">
      <c r="A36" s="22" t="inlineStr">
        <is>
          <t>IA</t>
        </is>
      </c>
      <c r="B36" s="29" t="n">
        <v>100.8</v>
      </c>
      <c r="C36" s="25" t="n">
        <v>0.315</v>
      </c>
      <c r="D36" s="25" t="n">
        <v>0.215</v>
      </c>
      <c r="E36" s="25" t="n">
        <v>0.266</v>
      </c>
      <c r="F36" s="25" t="n">
        <v>0.181</v>
      </c>
      <c r="G36" s="25" t="n">
        <v>0.219</v>
      </c>
      <c r="H36" s="25" t="n">
        <v>0.144</v>
      </c>
      <c r="I36" s="25" t="n">
        <v>0.131</v>
      </c>
      <c r="J36" s="25" t="n">
        <v>0.098</v>
      </c>
      <c r="K36" s="25" t="n">
        <v>0.126</v>
      </c>
      <c r="L36" s="25" t="n">
        <v>0.078</v>
      </c>
      <c r="M36" s="22" t="inlineStr">
        <is>
          <t>AFLEET_2024 — MRO region (elecSrc 5)</t>
        </is>
      </c>
      <c r="N36" s="22" t="n"/>
    </row>
    <row r="37">
      <c r="A37" s="22" t="inlineStr">
        <is>
          <t>KS</t>
        </is>
      </c>
      <c r="B37" s="29" t="n">
        <v>104.2</v>
      </c>
      <c r="C37" s="25" t="n">
        <v>0.315</v>
      </c>
      <c r="D37" s="25" t="n">
        <v>0.215</v>
      </c>
      <c r="E37" s="25" t="n">
        <v>0.266</v>
      </c>
      <c r="F37" s="25" t="n">
        <v>0.181</v>
      </c>
      <c r="G37" s="25" t="n">
        <v>0.219</v>
      </c>
      <c r="H37" s="25" t="n">
        <v>0.144</v>
      </c>
      <c r="I37" s="25" t="n">
        <v>0.127</v>
      </c>
      <c r="J37" s="25" t="n">
        <v>0.095</v>
      </c>
      <c r="K37" s="25" t="n">
        <v>0.112</v>
      </c>
      <c r="L37" s="25" t="n">
        <v>0.07000000000000001</v>
      </c>
      <c r="M37" s="22" t="inlineStr">
        <is>
          <t>AFLEET_2024 — SPP region (elecSrc 9)</t>
        </is>
      </c>
      <c r="N37" s="22" t="n"/>
    </row>
    <row r="38">
      <c r="A38" s="22" t="inlineStr">
        <is>
          <t>KY</t>
        </is>
      </c>
      <c r="B38" s="29" t="n">
        <v>165.5</v>
      </c>
      <c r="C38" s="25" t="n">
        <v>0.315</v>
      </c>
      <c r="D38" s="25" t="n">
        <v>0.215</v>
      </c>
      <c r="E38" s="25" t="n">
        <v>0.266</v>
      </c>
      <c r="F38" s="25" t="n">
        <v>0.181</v>
      </c>
      <c r="G38" s="25" t="n">
        <v>0.219</v>
      </c>
      <c r="H38" s="25" t="n">
        <v>0.144</v>
      </c>
      <c r="I38" s="25" t="n">
        <v>0.133</v>
      </c>
      <c r="J38" s="25" t="n">
        <v>0.1</v>
      </c>
      <c r="K38" s="25" t="n">
        <v>0.134</v>
      </c>
      <c r="L38" s="25" t="n">
        <v>0.083</v>
      </c>
      <c r="M38" s="22" t="inlineStr">
        <is>
          <t>AFLEET_2024 — SERC region (elecSrc 8)</t>
        </is>
      </c>
      <c r="N38" s="22" t="n"/>
    </row>
    <row r="39">
      <c r="A39" s="22" t="inlineStr">
        <is>
          <t>LA</t>
        </is>
      </c>
      <c r="B39" s="29" t="n">
        <v>111</v>
      </c>
      <c r="C39" s="25" t="n">
        <v>0.315</v>
      </c>
      <c r="D39" s="25" t="n">
        <v>0.215</v>
      </c>
      <c r="E39" s="25" t="n">
        <v>0.266</v>
      </c>
      <c r="F39" s="25" t="n">
        <v>0.181</v>
      </c>
      <c r="G39" s="25" t="n">
        <v>0.219</v>
      </c>
      <c r="H39" s="25" t="n">
        <v>0.144</v>
      </c>
      <c r="I39" s="25" t="n">
        <v>0.127</v>
      </c>
      <c r="J39" s="25" t="n">
        <v>0.095</v>
      </c>
      <c r="K39" s="25" t="n">
        <v>0.112</v>
      </c>
      <c r="L39" s="25" t="n">
        <v>0.07000000000000001</v>
      </c>
      <c r="M39" s="22" t="inlineStr">
        <is>
          <t>AFLEET_2024 — SPP region (elecSrc 9)</t>
        </is>
      </c>
      <c r="N39" s="22" t="n"/>
    </row>
    <row r="40">
      <c r="A40" s="22" t="inlineStr">
        <is>
          <t>ME</t>
        </is>
      </c>
      <c r="B40" s="29" t="n">
        <v>40.9</v>
      </c>
      <c r="C40" s="25" t="n">
        <v>0.315</v>
      </c>
      <c r="D40" s="25" t="n">
        <v>0.215</v>
      </c>
      <c r="E40" s="25" t="n">
        <v>0.266</v>
      </c>
      <c r="F40" s="25" t="n">
        <v>0.181</v>
      </c>
      <c r="G40" s="25" t="n">
        <v>0.219</v>
      </c>
      <c r="H40" s="25" t="n">
        <v>0.144</v>
      </c>
      <c r="I40" s="25" t="n">
        <v>0.114</v>
      </c>
      <c r="J40" s="25" t="n">
        <v>0.081</v>
      </c>
      <c r="K40" s="25" t="n">
        <v>0.064</v>
      </c>
      <c r="L40" s="25" t="n">
        <v>0.04</v>
      </c>
      <c r="M40" s="22" t="inlineStr">
        <is>
          <t>AFLEET_2024 — NPCC region (elecSrc 6)</t>
        </is>
      </c>
      <c r="N40" s="22" t="n"/>
    </row>
    <row r="41">
      <c r="A41" s="22" t="inlineStr">
        <is>
          <t>MD</t>
        </is>
      </c>
      <c r="B41" s="29" t="n">
        <v>80.90000000000001</v>
      </c>
      <c r="C41" s="25" t="n">
        <v>0.315</v>
      </c>
      <c r="D41" s="25" t="n">
        <v>0.215</v>
      </c>
      <c r="E41" s="25" t="n">
        <v>0.266</v>
      </c>
      <c r="F41" s="25" t="n">
        <v>0.181</v>
      </c>
      <c r="G41" s="25" t="n">
        <v>0.219</v>
      </c>
      <c r="H41" s="25" t="n">
        <v>0.144</v>
      </c>
      <c r="I41" s="25" t="n">
        <v>0.13</v>
      </c>
      <c r="J41" s="25" t="n">
        <v>0.098</v>
      </c>
      <c r="K41" s="25" t="n">
        <v>0.124</v>
      </c>
      <c r="L41" s="25" t="n">
        <v>0.077</v>
      </c>
      <c r="M41" s="22" t="inlineStr">
        <is>
          <t>AFLEET_2024 — RFC region (elecSrc 7)</t>
        </is>
      </c>
      <c r="N41" s="22" t="n"/>
    </row>
    <row r="42">
      <c r="A42" s="22" t="inlineStr">
        <is>
          <t>MA</t>
        </is>
      </c>
      <c r="B42" s="29" t="n">
        <v>85.3</v>
      </c>
      <c r="C42" s="25" t="n">
        <v>0.315</v>
      </c>
      <c r="D42" s="25" t="n">
        <v>0.215</v>
      </c>
      <c r="E42" s="25" t="n">
        <v>0.266</v>
      </c>
      <c r="F42" s="25" t="n">
        <v>0.181</v>
      </c>
      <c r="G42" s="25" t="n">
        <v>0.219</v>
      </c>
      <c r="H42" s="25" t="n">
        <v>0.144</v>
      </c>
      <c r="I42" s="25" t="n">
        <v>0.114</v>
      </c>
      <c r="J42" s="25" t="n">
        <v>0.081</v>
      </c>
      <c r="K42" s="25" t="n">
        <v>0.064</v>
      </c>
      <c r="L42" s="25" t="n">
        <v>0.04</v>
      </c>
      <c r="M42" s="22" t="inlineStr">
        <is>
          <t>AFLEET_2024 — NPCC region (elecSrc 6)</t>
        </is>
      </c>
      <c r="N42" s="22" t="n"/>
    </row>
    <row r="43">
      <c r="A43" s="22" t="inlineStr">
        <is>
          <t>MN</t>
        </is>
      </c>
      <c r="B43" s="29" t="n">
        <v>91.59999999999999</v>
      </c>
      <c r="C43" s="25" t="n">
        <v>0.315</v>
      </c>
      <c r="D43" s="25" t="n">
        <v>0.215</v>
      </c>
      <c r="E43" s="25" t="n">
        <v>0.266</v>
      </c>
      <c r="F43" s="25" t="n">
        <v>0.181</v>
      </c>
      <c r="G43" s="25" t="n">
        <v>0.219</v>
      </c>
      <c r="H43" s="25" t="n">
        <v>0.144</v>
      </c>
      <c r="I43" s="25" t="n">
        <v>0.131</v>
      </c>
      <c r="J43" s="25" t="n">
        <v>0.098</v>
      </c>
      <c r="K43" s="25" t="n">
        <v>0.126</v>
      </c>
      <c r="L43" s="25" t="n">
        <v>0.078</v>
      </c>
      <c r="M43" s="22" t="inlineStr">
        <is>
          <t>AFLEET_2024 — MRO region (elecSrc 5)</t>
        </is>
      </c>
      <c r="N43" s="22" t="n"/>
    </row>
    <row r="44">
      <c r="A44" s="22" t="inlineStr">
        <is>
          <t>MS</t>
        </is>
      </c>
      <c r="B44" s="29" t="n">
        <v>113.4</v>
      </c>
      <c r="C44" s="25" t="n">
        <v>0.315</v>
      </c>
      <c r="D44" s="25" t="n">
        <v>0.215</v>
      </c>
      <c r="E44" s="25" t="n">
        <v>0.266</v>
      </c>
      <c r="F44" s="25" t="n">
        <v>0.181</v>
      </c>
      <c r="G44" s="25" t="n">
        <v>0.219</v>
      </c>
      <c r="H44" s="25" t="n">
        <v>0.144</v>
      </c>
      <c r="I44" s="25" t="n">
        <v>0.133</v>
      </c>
      <c r="J44" s="25" t="n">
        <v>0.1</v>
      </c>
      <c r="K44" s="25" t="n">
        <v>0.134</v>
      </c>
      <c r="L44" s="25" t="n">
        <v>0.083</v>
      </c>
      <c r="M44" s="22" t="inlineStr">
        <is>
          <t>AFLEET_2024 — SERC region (elecSrc 8)</t>
        </is>
      </c>
      <c r="N44" s="22" t="n"/>
    </row>
    <row r="45">
      <c r="A45" s="22" t="inlineStr">
        <is>
          <t>MO</t>
        </is>
      </c>
      <c r="B45" s="29" t="n">
        <v>158.4</v>
      </c>
      <c r="C45" s="25" t="n">
        <v>0.315</v>
      </c>
      <c r="D45" s="25" t="n">
        <v>0.215</v>
      </c>
      <c r="E45" s="25" t="n">
        <v>0.266</v>
      </c>
      <c r="F45" s="25" t="n">
        <v>0.181</v>
      </c>
      <c r="G45" s="25" t="n">
        <v>0.219</v>
      </c>
      <c r="H45" s="25" t="n">
        <v>0.144</v>
      </c>
      <c r="I45" s="25" t="n">
        <v>0.133</v>
      </c>
      <c r="J45" s="25" t="n">
        <v>0.1</v>
      </c>
      <c r="K45" s="25" t="n">
        <v>0.134</v>
      </c>
      <c r="L45" s="25" t="n">
        <v>0.083</v>
      </c>
      <c r="M45" s="22" t="inlineStr">
        <is>
          <t>AFLEET_2024 — SERC region (elecSrc 8)</t>
        </is>
      </c>
      <c r="N45" s="22" t="n"/>
    </row>
    <row r="46">
      <c r="A46" s="22" t="inlineStr">
        <is>
          <t>MT</t>
        </is>
      </c>
      <c r="B46" s="29" t="n">
        <v>73.2</v>
      </c>
      <c r="C46" s="25" t="n">
        <v>0.315</v>
      </c>
      <c r="D46" s="25" t="n">
        <v>0.215</v>
      </c>
      <c r="E46" s="25" t="n">
        <v>0.266</v>
      </c>
      <c r="F46" s="25" t="n">
        <v>0.181</v>
      </c>
      <c r="G46" s="25" t="n">
        <v>0.219</v>
      </c>
      <c r="H46" s="25" t="n">
        <v>0.144</v>
      </c>
      <c r="I46" s="25" t="n">
        <v>0.119</v>
      </c>
      <c r="J46" s="25" t="n">
        <v>0.08599999999999999</v>
      </c>
      <c r="K46" s="25" t="n">
        <v>0.081</v>
      </c>
      <c r="L46" s="25" t="n">
        <v>0.05</v>
      </c>
      <c r="M46" s="22" t="inlineStr">
        <is>
          <t>AFLEET_2024 — WECC region (elecSrc 11)</t>
        </is>
      </c>
      <c r="N46" s="22" t="n"/>
    </row>
    <row r="47">
      <c r="A47" s="22" t="inlineStr">
        <is>
          <t>NE</t>
        </is>
      </c>
      <c r="B47" s="29" t="n">
        <v>110</v>
      </c>
      <c r="C47" s="25" t="n">
        <v>0.315</v>
      </c>
      <c r="D47" s="25" t="n">
        <v>0.215</v>
      </c>
      <c r="E47" s="25" t="n">
        <v>0.266</v>
      </c>
      <c r="F47" s="25" t="n">
        <v>0.181</v>
      </c>
      <c r="G47" s="25" t="n">
        <v>0.219</v>
      </c>
      <c r="H47" s="25" t="n">
        <v>0.144</v>
      </c>
      <c r="I47" s="25" t="n">
        <v>0.131</v>
      </c>
      <c r="J47" s="25" t="n">
        <v>0.098</v>
      </c>
      <c r="K47" s="25" t="n">
        <v>0.126</v>
      </c>
      <c r="L47" s="25" t="n">
        <v>0.078</v>
      </c>
      <c r="M47" s="22" t="inlineStr">
        <is>
          <t>AFLEET_2024 — MRO region (elecSrc 5)</t>
        </is>
      </c>
      <c r="N47" s="22" t="n"/>
    </row>
    <row r="48">
      <c r="A48" s="22" t="inlineStr">
        <is>
          <t>NV</t>
        </is>
      </c>
      <c r="B48" s="29" t="n">
        <v>90.2</v>
      </c>
      <c r="C48" s="25" t="n">
        <v>0.315</v>
      </c>
      <c r="D48" s="25" t="n">
        <v>0.215</v>
      </c>
      <c r="E48" s="25" t="n">
        <v>0.266</v>
      </c>
      <c r="F48" s="25" t="n">
        <v>0.181</v>
      </c>
      <c r="G48" s="25" t="n">
        <v>0.219</v>
      </c>
      <c r="H48" s="25" t="n">
        <v>0.144</v>
      </c>
      <c r="I48" s="25" t="n">
        <v>0.119</v>
      </c>
      <c r="J48" s="25" t="n">
        <v>0.08599999999999999</v>
      </c>
      <c r="K48" s="25" t="n">
        <v>0.081</v>
      </c>
      <c r="L48" s="25" t="n">
        <v>0.05</v>
      </c>
      <c r="M48" s="22" t="inlineStr">
        <is>
          <t>AFLEET_2024 — WECC region (elecSrc 11)</t>
        </is>
      </c>
      <c r="N48" s="22" t="n"/>
    </row>
    <row r="49">
      <c r="A49" s="22" t="inlineStr">
        <is>
          <t>NH</t>
        </is>
      </c>
      <c r="B49" s="29" t="n">
        <v>53.6</v>
      </c>
      <c r="C49" s="25" t="n">
        <v>0.315</v>
      </c>
      <c r="D49" s="25" t="n">
        <v>0.215</v>
      </c>
      <c r="E49" s="25" t="n">
        <v>0.266</v>
      </c>
      <c r="F49" s="25" t="n">
        <v>0.181</v>
      </c>
      <c r="G49" s="25" t="n">
        <v>0.219</v>
      </c>
      <c r="H49" s="25" t="n">
        <v>0.144</v>
      </c>
      <c r="I49" s="25" t="n">
        <v>0.114</v>
      </c>
      <c r="J49" s="25" t="n">
        <v>0.081</v>
      </c>
      <c r="K49" s="25" t="n">
        <v>0.064</v>
      </c>
      <c r="L49" s="25" t="n">
        <v>0.04</v>
      </c>
      <c r="M49" s="22" t="inlineStr">
        <is>
          <t>AFLEET_2024 — NPCC region (elecSrc 6)</t>
        </is>
      </c>
      <c r="N49" s="22" t="n"/>
    </row>
    <row r="50">
      <c r="A50" s="22" t="inlineStr">
        <is>
          <t>NJ</t>
        </is>
      </c>
      <c r="B50" s="29" t="n">
        <v>64</v>
      </c>
      <c r="C50" s="25" t="n">
        <v>0.315</v>
      </c>
      <c r="D50" s="25" t="n">
        <v>0.215</v>
      </c>
      <c r="E50" s="25" t="n">
        <v>0.266</v>
      </c>
      <c r="F50" s="25" t="n">
        <v>0.181</v>
      </c>
      <c r="G50" s="25" t="n">
        <v>0.219</v>
      </c>
      <c r="H50" s="25" t="n">
        <v>0.144</v>
      </c>
      <c r="I50" s="25" t="n">
        <v>0.13</v>
      </c>
      <c r="J50" s="25" t="n">
        <v>0.098</v>
      </c>
      <c r="K50" s="25" t="n">
        <v>0.124</v>
      </c>
      <c r="L50" s="25" t="n">
        <v>0.077</v>
      </c>
      <c r="M50" s="22" t="inlineStr">
        <is>
          <t>AFLEET_2024 — RFC region (elecSrc 7)</t>
        </is>
      </c>
      <c r="N50" s="22" t="n"/>
    </row>
    <row r="51">
      <c r="A51" s="22" t="inlineStr">
        <is>
          <t>NM</t>
        </is>
      </c>
      <c r="B51" s="29" t="n">
        <v>114.4</v>
      </c>
      <c r="C51" s="25" t="n">
        <v>0.315</v>
      </c>
      <c r="D51" s="25" t="n">
        <v>0.215</v>
      </c>
      <c r="E51" s="25" t="n">
        <v>0.266</v>
      </c>
      <c r="F51" s="25" t="n">
        <v>0.181</v>
      </c>
      <c r="G51" s="25" t="n">
        <v>0.219</v>
      </c>
      <c r="H51" s="25" t="n">
        <v>0.144</v>
      </c>
      <c r="I51" s="25" t="n">
        <v>0.119</v>
      </c>
      <c r="J51" s="25" t="n">
        <v>0.08599999999999999</v>
      </c>
      <c r="K51" s="25" t="n">
        <v>0.081</v>
      </c>
      <c r="L51" s="25" t="n">
        <v>0.05</v>
      </c>
      <c r="M51" s="22" t="inlineStr">
        <is>
          <t>AFLEET_2024 — WECC region (elecSrc 11)</t>
        </is>
      </c>
      <c r="N51" s="22" t="n"/>
    </row>
    <row r="52">
      <c r="A52" s="22" t="inlineStr">
        <is>
          <t>NC</t>
        </is>
      </c>
      <c r="B52" s="29" t="n">
        <v>83.40000000000001</v>
      </c>
      <c r="C52" s="25" t="n">
        <v>0.315</v>
      </c>
      <c r="D52" s="25" t="n">
        <v>0.215</v>
      </c>
      <c r="E52" s="25" t="n">
        <v>0.266</v>
      </c>
      <c r="F52" s="25" t="n">
        <v>0.181</v>
      </c>
      <c r="G52" s="25" t="n">
        <v>0.219</v>
      </c>
      <c r="H52" s="25" t="n">
        <v>0.144</v>
      </c>
      <c r="I52" s="25" t="n">
        <v>0.133</v>
      </c>
      <c r="J52" s="25" t="n">
        <v>0.1</v>
      </c>
      <c r="K52" s="25" t="n">
        <v>0.134</v>
      </c>
      <c r="L52" s="25" t="n">
        <v>0.083</v>
      </c>
      <c r="M52" s="22" t="inlineStr">
        <is>
          <t>AFLEET_2024 — SERC region (elecSrc 8)</t>
        </is>
      </c>
      <c r="N52" s="22" t="n"/>
    </row>
    <row r="53">
      <c r="A53" s="22" t="inlineStr">
        <is>
          <t>ND</t>
        </is>
      </c>
      <c r="B53" s="29" t="n">
        <v>163.7</v>
      </c>
      <c r="C53" s="25" t="n">
        <v>0.315</v>
      </c>
      <c r="D53" s="25" t="n">
        <v>0.215</v>
      </c>
      <c r="E53" s="25" t="n">
        <v>0.266</v>
      </c>
      <c r="F53" s="25" t="n">
        <v>0.181</v>
      </c>
      <c r="G53" s="25" t="n">
        <v>0.219</v>
      </c>
      <c r="H53" s="25" t="n">
        <v>0.144</v>
      </c>
      <c r="I53" s="25" t="n">
        <v>0.131</v>
      </c>
      <c r="J53" s="25" t="n">
        <v>0.098</v>
      </c>
      <c r="K53" s="25" t="n">
        <v>0.126</v>
      </c>
      <c r="L53" s="25" t="n">
        <v>0.078</v>
      </c>
      <c r="M53" s="22" t="inlineStr">
        <is>
          <t>AFLEET_2024 — MRO region (elecSrc 5)</t>
        </is>
      </c>
      <c r="N53" s="22" t="n"/>
    </row>
    <row r="54">
      <c r="A54" s="22" t="inlineStr">
        <is>
          <t>OH</t>
        </is>
      </c>
      <c r="B54" s="29" t="n">
        <v>130.1</v>
      </c>
      <c r="C54" s="25" t="n">
        <v>0.315</v>
      </c>
      <c r="D54" s="25" t="n">
        <v>0.215</v>
      </c>
      <c r="E54" s="25" t="n">
        <v>0.266</v>
      </c>
      <c r="F54" s="25" t="n">
        <v>0.181</v>
      </c>
      <c r="G54" s="25" t="n">
        <v>0.219</v>
      </c>
      <c r="H54" s="25" t="n">
        <v>0.144</v>
      </c>
      <c r="I54" s="25" t="n">
        <v>0.13</v>
      </c>
      <c r="J54" s="25" t="n">
        <v>0.098</v>
      </c>
      <c r="K54" s="25" t="n">
        <v>0.124</v>
      </c>
      <c r="L54" s="25" t="n">
        <v>0.077</v>
      </c>
      <c r="M54" s="22" t="inlineStr">
        <is>
          <t>AFLEET_2024 — RFC region (elecSrc 7)</t>
        </is>
      </c>
      <c r="N54" s="22" t="n"/>
    </row>
    <row r="55">
      <c r="A55" s="22" t="inlineStr">
        <is>
          <t>OK</t>
        </is>
      </c>
      <c r="B55" s="29" t="n">
        <v>99.3</v>
      </c>
      <c r="C55" s="25" t="n">
        <v>0.315</v>
      </c>
      <c r="D55" s="25" t="n">
        <v>0.215</v>
      </c>
      <c r="E55" s="25" t="n">
        <v>0.266</v>
      </c>
      <c r="F55" s="25" t="n">
        <v>0.181</v>
      </c>
      <c r="G55" s="25" t="n">
        <v>0.219</v>
      </c>
      <c r="H55" s="25" t="n">
        <v>0.144</v>
      </c>
      <c r="I55" s="25" t="n">
        <v>0.127</v>
      </c>
      <c r="J55" s="25" t="n">
        <v>0.095</v>
      </c>
      <c r="K55" s="25" t="n">
        <v>0.112</v>
      </c>
      <c r="L55" s="25" t="n">
        <v>0.07000000000000001</v>
      </c>
      <c r="M55" s="22" t="inlineStr">
        <is>
          <t>AFLEET_2024 — SPP region (elecSrc 9)</t>
        </is>
      </c>
      <c r="N55" s="22" t="n"/>
    </row>
    <row r="56">
      <c r="A56" s="22" t="inlineStr">
        <is>
          <t>OR</t>
        </is>
      </c>
      <c r="B56" s="29" t="n">
        <v>34</v>
      </c>
      <c r="C56" s="25" t="n">
        <v>0.315</v>
      </c>
      <c r="D56" s="25" t="n">
        <v>0.215</v>
      </c>
      <c r="E56" s="25" t="n">
        <v>0.266</v>
      </c>
      <c r="F56" s="25" t="n">
        <v>0.181</v>
      </c>
      <c r="G56" s="25" t="n">
        <v>0.219</v>
      </c>
      <c r="H56" s="25" t="n">
        <v>0.144</v>
      </c>
      <c r="I56" s="25" t="n">
        <v>0.119</v>
      </c>
      <c r="J56" s="25" t="n">
        <v>0.08599999999999999</v>
      </c>
      <c r="K56" s="25" t="n">
        <v>0.081</v>
      </c>
      <c r="L56" s="25" t="n">
        <v>0.05</v>
      </c>
      <c r="M56" s="22" t="inlineStr">
        <is>
          <t>AFLEET_2024 — WECC region (elecSrc 11)</t>
        </is>
      </c>
      <c r="N56" s="22" t="n"/>
    </row>
    <row r="57">
      <c r="A57" s="22" t="inlineStr">
        <is>
          <t>PA</t>
        </is>
      </c>
      <c r="B57" s="29" t="n">
        <v>82.8</v>
      </c>
      <c r="C57" s="25" t="n">
        <v>0.315</v>
      </c>
      <c r="D57" s="25" t="n">
        <v>0.215</v>
      </c>
      <c r="E57" s="25" t="n">
        <v>0.266</v>
      </c>
      <c r="F57" s="25" t="n">
        <v>0.181</v>
      </c>
      <c r="G57" s="25" t="n">
        <v>0.219</v>
      </c>
      <c r="H57" s="25" t="n">
        <v>0.144</v>
      </c>
      <c r="I57" s="25" t="n">
        <v>0.13</v>
      </c>
      <c r="J57" s="25" t="n">
        <v>0.098</v>
      </c>
      <c r="K57" s="25" t="n">
        <v>0.124</v>
      </c>
      <c r="L57" s="25" t="n">
        <v>0.077</v>
      </c>
      <c r="M57" s="22" t="inlineStr">
        <is>
          <t>AFLEET_2024 — RFC region (elecSrc 7)</t>
        </is>
      </c>
      <c r="N57" s="22" t="n"/>
    </row>
    <row r="58">
      <c r="A58" s="22" t="inlineStr">
        <is>
          <t>RI</t>
        </is>
      </c>
      <c r="B58" s="29" t="n">
        <v>80.40000000000001</v>
      </c>
      <c r="C58" s="25" t="n">
        <v>0.315</v>
      </c>
      <c r="D58" s="25" t="n">
        <v>0.215</v>
      </c>
      <c r="E58" s="25" t="n">
        <v>0.266</v>
      </c>
      <c r="F58" s="25" t="n">
        <v>0.181</v>
      </c>
      <c r="G58" s="25" t="n">
        <v>0.219</v>
      </c>
      <c r="H58" s="25" t="n">
        <v>0.144</v>
      </c>
      <c r="I58" s="25" t="n">
        <v>0.114</v>
      </c>
      <c r="J58" s="25" t="n">
        <v>0.081</v>
      </c>
      <c r="K58" s="25" t="n">
        <v>0.064</v>
      </c>
      <c r="L58" s="25" t="n">
        <v>0.04</v>
      </c>
      <c r="M58" s="22" t="inlineStr">
        <is>
          <t>AFLEET_2024 — NPCC region (elecSrc 6)</t>
        </is>
      </c>
      <c r="N58" s="22" t="n"/>
    </row>
    <row r="59">
      <c r="A59" s="22" t="inlineStr">
        <is>
          <t>SC</t>
        </is>
      </c>
      <c r="B59" s="29" t="n">
        <v>69.8</v>
      </c>
      <c r="C59" s="25" t="n">
        <v>0.315</v>
      </c>
      <c r="D59" s="25" t="n">
        <v>0.215</v>
      </c>
      <c r="E59" s="25" t="n">
        <v>0.266</v>
      </c>
      <c r="F59" s="25" t="n">
        <v>0.181</v>
      </c>
      <c r="G59" s="25" t="n">
        <v>0.219</v>
      </c>
      <c r="H59" s="25" t="n">
        <v>0.144</v>
      </c>
      <c r="I59" s="25" t="n">
        <v>0.133</v>
      </c>
      <c r="J59" s="25" t="n">
        <v>0.1</v>
      </c>
      <c r="K59" s="25" t="n">
        <v>0.134</v>
      </c>
      <c r="L59" s="25" t="n">
        <v>0.083</v>
      </c>
      <c r="M59" s="22" t="inlineStr">
        <is>
          <t>AFLEET_2024 — SERC region (elecSrc 8)</t>
        </is>
      </c>
      <c r="N59" s="22" t="n"/>
    </row>
    <row r="60">
      <c r="A60" s="22" t="inlineStr">
        <is>
          <t>SD</t>
        </is>
      </c>
      <c r="B60" s="29" t="n">
        <v>65.90000000000001</v>
      </c>
      <c r="C60" s="25" t="n">
        <v>0.315</v>
      </c>
      <c r="D60" s="25" t="n">
        <v>0.215</v>
      </c>
      <c r="E60" s="25" t="n">
        <v>0.266</v>
      </c>
      <c r="F60" s="25" t="n">
        <v>0.181</v>
      </c>
      <c r="G60" s="25" t="n">
        <v>0.219</v>
      </c>
      <c r="H60" s="25" t="n">
        <v>0.144</v>
      </c>
      <c r="I60" s="25" t="n">
        <v>0.131</v>
      </c>
      <c r="J60" s="25" t="n">
        <v>0.098</v>
      </c>
      <c r="K60" s="25" t="n">
        <v>0.126</v>
      </c>
      <c r="L60" s="25" t="n">
        <v>0.078</v>
      </c>
      <c r="M60" s="22" t="inlineStr">
        <is>
          <t>AFLEET_2024 — MRO region (elecSrc 5)</t>
        </is>
      </c>
      <c r="N60" s="22" t="n"/>
    </row>
    <row r="61">
      <c r="A61" s="22" t="inlineStr">
        <is>
          <t>TN</t>
        </is>
      </c>
      <c r="B61" s="29" t="n">
        <v>94.90000000000001</v>
      </c>
      <c r="C61" s="25" t="n">
        <v>0.315</v>
      </c>
      <c r="D61" s="25" t="n">
        <v>0.215</v>
      </c>
      <c r="E61" s="25" t="n">
        <v>0.266</v>
      </c>
      <c r="F61" s="25" t="n">
        <v>0.181</v>
      </c>
      <c r="G61" s="25" t="n">
        <v>0.219</v>
      </c>
      <c r="H61" s="25" t="n">
        <v>0.144</v>
      </c>
      <c r="I61" s="25" t="n">
        <v>0.133</v>
      </c>
      <c r="J61" s="25" t="n">
        <v>0.1</v>
      </c>
      <c r="K61" s="25" t="n">
        <v>0.134</v>
      </c>
      <c r="L61" s="25" t="n">
        <v>0.083</v>
      </c>
      <c r="M61" s="22" t="inlineStr">
        <is>
          <t>AFLEET_2024 — SERC region (elecSrc 8)</t>
        </is>
      </c>
      <c r="N61" s="22" t="n"/>
    </row>
    <row r="62">
      <c r="A62" s="22" t="inlineStr">
        <is>
          <t>TX</t>
        </is>
      </c>
      <c r="B62" s="29" t="n">
        <v>109.7</v>
      </c>
      <c r="C62" s="25" t="n">
        <v>0.315</v>
      </c>
      <c r="D62" s="25" t="n">
        <v>0.215</v>
      </c>
      <c r="E62" s="25" t="n">
        <v>0.266</v>
      </c>
      <c r="F62" s="25" t="n">
        <v>0.181</v>
      </c>
      <c r="G62" s="25" t="n">
        <v>0.219</v>
      </c>
      <c r="H62" s="25" t="n">
        <v>0.144</v>
      </c>
      <c r="I62" s="25" t="n">
        <v>0.124</v>
      </c>
      <c r="J62" s="25" t="n">
        <v>0.091</v>
      </c>
      <c r="K62" s="25" t="n">
        <v>0.1</v>
      </c>
      <c r="L62" s="25" t="n">
        <v>0.062</v>
      </c>
      <c r="M62" s="22" t="inlineStr">
        <is>
          <t>AFLEET_2024 — TRE region (elecSrc 10)</t>
        </is>
      </c>
      <c r="N62" s="22" t="n"/>
    </row>
    <row r="63">
      <c r="A63" s="22" t="inlineStr">
        <is>
          <t>UT</t>
        </is>
      </c>
      <c r="B63" s="29" t="n">
        <v>139.1</v>
      </c>
      <c r="C63" s="25" t="n">
        <v>0.315</v>
      </c>
      <c r="D63" s="25" t="n">
        <v>0.215</v>
      </c>
      <c r="E63" s="25" t="n">
        <v>0.266</v>
      </c>
      <c r="F63" s="25" t="n">
        <v>0.181</v>
      </c>
      <c r="G63" s="25" t="n">
        <v>0.219</v>
      </c>
      <c r="H63" s="25" t="n">
        <v>0.144</v>
      </c>
      <c r="I63" s="25" t="n">
        <v>0.119</v>
      </c>
      <c r="J63" s="25" t="n">
        <v>0.08599999999999999</v>
      </c>
      <c r="K63" s="25" t="n">
        <v>0.081</v>
      </c>
      <c r="L63" s="25" t="n">
        <v>0.05</v>
      </c>
      <c r="M63" s="22" t="inlineStr">
        <is>
          <t>AFLEET_2024 — WECC region (elecSrc 11)</t>
        </is>
      </c>
      <c r="N63" s="22" t="n"/>
    </row>
    <row r="64">
      <c r="A64" s="22" t="inlineStr">
        <is>
          <t>VT</t>
        </is>
      </c>
      <c r="B64" s="29" t="n">
        <v>6.7</v>
      </c>
      <c r="C64" s="25" t="n">
        <v>0.315</v>
      </c>
      <c r="D64" s="25" t="n">
        <v>0.215</v>
      </c>
      <c r="E64" s="25" t="n">
        <v>0.266</v>
      </c>
      <c r="F64" s="25" t="n">
        <v>0.181</v>
      </c>
      <c r="G64" s="25" t="n">
        <v>0.219</v>
      </c>
      <c r="H64" s="25" t="n">
        <v>0.144</v>
      </c>
      <c r="I64" s="25" t="n">
        <v>0.114</v>
      </c>
      <c r="J64" s="25" t="n">
        <v>0.081</v>
      </c>
      <c r="K64" s="25" t="n">
        <v>0.064</v>
      </c>
      <c r="L64" s="25" t="n">
        <v>0.04</v>
      </c>
      <c r="M64" s="22" t="inlineStr">
        <is>
          <t>AFLEET_2024 — NPCC region (elecSrc 6)</t>
        </is>
      </c>
      <c r="N64" s="22" t="n"/>
    </row>
    <row r="65">
      <c r="A65" s="22" t="inlineStr">
        <is>
          <t>VA</t>
        </is>
      </c>
      <c r="B65" s="29" t="n">
        <v>70.8</v>
      </c>
      <c r="C65" s="25" t="n">
        <v>0.315</v>
      </c>
      <c r="D65" s="25" t="n">
        <v>0.215</v>
      </c>
      <c r="E65" s="25" t="n">
        <v>0.266</v>
      </c>
      <c r="F65" s="25" t="n">
        <v>0.181</v>
      </c>
      <c r="G65" s="25" t="n">
        <v>0.219</v>
      </c>
      <c r="H65" s="25" t="n">
        <v>0.144</v>
      </c>
      <c r="I65" s="25" t="n">
        <v>0.13</v>
      </c>
      <c r="J65" s="25" t="n">
        <v>0.098</v>
      </c>
      <c r="K65" s="25" t="n">
        <v>0.124</v>
      </c>
      <c r="L65" s="25" t="n">
        <v>0.077</v>
      </c>
      <c r="M65" s="22" t="inlineStr">
        <is>
          <t>AFLEET_2024 — RFC region (elecSrc 7)</t>
        </is>
      </c>
      <c r="N65" s="22" t="n"/>
    </row>
    <row r="66">
      <c r="A66" s="22" t="inlineStr">
        <is>
          <t>WV</t>
        </is>
      </c>
      <c r="B66" s="29" t="n">
        <v>186.8</v>
      </c>
      <c r="C66" s="25" t="n">
        <v>0.315</v>
      </c>
      <c r="D66" s="25" t="n">
        <v>0.215</v>
      </c>
      <c r="E66" s="25" t="n">
        <v>0.266</v>
      </c>
      <c r="F66" s="25" t="n">
        <v>0.181</v>
      </c>
      <c r="G66" s="25" t="n">
        <v>0.219</v>
      </c>
      <c r="H66" s="25" t="n">
        <v>0.144</v>
      </c>
      <c r="I66" s="25" t="n">
        <v>0.13</v>
      </c>
      <c r="J66" s="25" t="n">
        <v>0.098</v>
      </c>
      <c r="K66" s="25" t="n">
        <v>0.124</v>
      </c>
      <c r="L66" s="25" t="n">
        <v>0.077</v>
      </c>
      <c r="M66" s="22" t="inlineStr">
        <is>
          <t>AFLEET_2024 — RFC region (elecSrc 7)</t>
        </is>
      </c>
      <c r="N66" s="22" t="n"/>
    </row>
    <row r="67">
      <c r="A67" s="22" t="inlineStr">
        <is>
          <t>WI</t>
        </is>
      </c>
      <c r="B67" s="29" t="n">
        <v>120.7</v>
      </c>
      <c r="C67" s="25" t="n">
        <v>0.315</v>
      </c>
      <c r="D67" s="25" t="n">
        <v>0.215</v>
      </c>
      <c r="E67" s="25" t="n">
        <v>0.266</v>
      </c>
      <c r="F67" s="25" t="n">
        <v>0.181</v>
      </c>
      <c r="G67" s="25" t="n">
        <v>0.219</v>
      </c>
      <c r="H67" s="25" t="n">
        <v>0.144</v>
      </c>
      <c r="I67" s="25" t="n">
        <v>0.131</v>
      </c>
      <c r="J67" s="25" t="n">
        <v>0.098</v>
      </c>
      <c r="K67" s="25" t="n">
        <v>0.126</v>
      </c>
      <c r="L67" s="25" t="n">
        <v>0.078</v>
      </c>
      <c r="M67" s="22" t="inlineStr">
        <is>
          <t>AFLEET_2024 — MRO region (elecSrc 5)</t>
        </is>
      </c>
      <c r="N67" s="22" t="n"/>
    </row>
    <row r="68">
      <c r="A68" s="22" t="inlineStr">
        <is>
          <t>WY</t>
        </is>
      </c>
      <c r="B68" s="29" t="n">
        <v>185.9</v>
      </c>
      <c r="C68" s="25" t="n">
        <v>0.315</v>
      </c>
      <c r="D68" s="25" t="n">
        <v>0.215</v>
      </c>
      <c r="E68" s="25" t="n">
        <v>0.266</v>
      </c>
      <c r="F68" s="25" t="n">
        <v>0.181</v>
      </c>
      <c r="G68" s="25" t="n">
        <v>0.219</v>
      </c>
      <c r="H68" s="25" t="n">
        <v>0.144</v>
      </c>
      <c r="I68" s="25" t="n">
        <v>0.119</v>
      </c>
      <c r="J68" s="25" t="n">
        <v>0.08599999999999999</v>
      </c>
      <c r="K68" s="25" t="n">
        <v>0.081</v>
      </c>
      <c r="L68" s="25" t="n">
        <v>0.05</v>
      </c>
      <c r="M68" s="22" t="inlineStr">
        <is>
          <t>AFLEET_2024 — WECC region (elecSrc 11)</t>
        </is>
      </c>
      <c r="N68" s="22" t="n"/>
    </row>
    <row r="69">
      <c r="A69" s="22" t="inlineStr">
        <is>
          <t>DC</t>
        </is>
      </c>
      <c r="B69" s="29" t="n">
        <v>92.7</v>
      </c>
      <c r="C69" s="25" t="n">
        <v>0.315</v>
      </c>
      <c r="D69" s="25" t="n">
        <v>0.215</v>
      </c>
      <c r="E69" s="25" t="n">
        <v>0.266</v>
      </c>
      <c r="F69" s="25" t="n">
        <v>0.181</v>
      </c>
      <c r="G69" s="25" t="n">
        <v>0.219</v>
      </c>
      <c r="H69" s="25" t="n">
        <v>0.144</v>
      </c>
      <c r="I69" s="25" t="n">
        <v>0.13</v>
      </c>
      <c r="J69" s="25" t="n">
        <v>0.098</v>
      </c>
      <c r="K69" s="25" t="n">
        <v>0.124</v>
      </c>
      <c r="L69" s="25" t="n">
        <v>0.077</v>
      </c>
      <c r="M69" s="22" t="inlineStr">
        <is>
          <t>AFLEET_2024 — RFC region (elecSrc 7)</t>
        </is>
      </c>
      <c r="N69" s="22" t="n"/>
    </row>
    <row r="70">
      <c r="A70" t="inlineStr">
        <is>
          <t>PR</t>
        </is>
      </c>
      <c r="B70" t="n">
        <v>236.5</v>
      </c>
      <c r="C70" t="n">
        <v>0.315</v>
      </c>
      <c r="D70" t="n">
        <v>0.215</v>
      </c>
      <c r="E70" t="n">
        <v>0.266</v>
      </c>
      <c r="F70" t="n">
        <v>0.181</v>
      </c>
      <c r="G70" t="n">
        <v>0.219</v>
      </c>
      <c r="H70" t="n">
        <v>0.144</v>
      </c>
      <c r="I70" t="n">
        <v>0.176</v>
      </c>
      <c r="J70" t="n">
        <v>0.14</v>
      </c>
      <c r="K70" t="n">
        <v>0.277</v>
      </c>
      <c r="L70" t="n">
        <v>0.173</v>
      </c>
      <c r="M70" t="inlineStr">
        <is>
          <t>Territory est. (grid eGRID2022 PRMS; EV/PHEV grid-scaled from HI)</t>
        </is>
      </c>
    </row>
    <row r="71">
      <c r="A71" t="inlineStr">
        <is>
          <t>VI</t>
        </is>
      </c>
      <c r="B71" t="n">
        <v>251.5</v>
      </c>
      <c r="C71" t="n">
        <v>0.315</v>
      </c>
      <c r="D71" t="n">
        <v>0.215</v>
      </c>
      <c r="E71" t="n">
        <v>0.266</v>
      </c>
      <c r="F71" t="n">
        <v>0.181</v>
      </c>
      <c r="G71" t="n">
        <v>0.219</v>
      </c>
      <c r="H71" t="n">
        <v>0.144</v>
      </c>
      <c r="I71" t="n">
        <v>0.18</v>
      </c>
      <c r="J71" t="n">
        <v>0.144</v>
      </c>
      <c r="K71" t="n">
        <v>0.291</v>
      </c>
      <c r="L71" t="n">
        <v>0.182</v>
      </c>
      <c r="M71" t="inlineStr">
        <is>
          <t>Territory est. (WAPA oil grid; EV/PHEV grid-scaled from HI)</t>
        </is>
      </c>
    </row>
    <row r="72"/>
    <row r="73">
      <c r="A73" s="27" t="inlineStr">
        <is>
          <t>UNITS: kg CO2e / km driven, lifecycle (well-to-wheels + vehicle manufacturing).</t>
        </is>
      </c>
    </row>
    <row r="74">
      <c r="A74" s="27" t="inlineStr">
        <is>
          <t>Gasoline / Diesel / HEV are grid-independent -- same for all jurisdictions.</t>
        </is>
      </c>
    </row>
    <row r="75">
      <c r="A75" s="27" t="inlineStr">
        <is>
          <t>* PHEV and BEV values depend on local electricity grid mix.</t>
        </is>
      </c>
    </row>
    <row r="76">
      <c r="A76" s="27" t="inlineStr">
        <is>
          <t>Color legend:</t>
        </is>
      </c>
    </row>
    <row r="77">
      <c r="A77" s="27" t="inlineStr">
        <is>
          <t xml:space="preserve">  GREEN  = Exact Table 17 values from original study (8 jurisdictions: CO,MI,NY,WA,BC,AB,ON,QC).</t>
        </is>
      </c>
    </row>
    <row r="78">
      <c r="A78" s="27" t="inlineStr">
        <is>
          <t xml:space="preserve">  BLUE   = AFLEET Online 2024 API values. Each US state maps to one of 10 NERC/eGRID regions.</t>
        </is>
      </c>
    </row>
    <row r="79">
      <c r="A79" s="27" t="inlineStr">
        <is>
          <t xml:space="preserve">           Unit conv: AFLEET metric tonnes CO2/yr / 21.97 = kg CO2e/km (Gasoline calibration).</t>
        </is>
      </c>
    </row>
    <row r="80">
      <c r="A80" s="27" t="inlineStr">
        <is>
          <t xml:space="preserve">           NERC map: ASCC=AK | FRCC=FL | HICC=HI | MRO=IA,MN,ND,NE,SD,WI</t>
        </is>
      </c>
    </row>
    <row r="81">
      <c r="A81" s="27" t="inlineStr">
        <is>
          <t xml:space="preserve">                     NPCC=CT,ME,MA,NH,NY,RI,VT | RFC=DE,DC,IL,IN,MD,MI,NJ,OH,PA,VA,WV</t>
        </is>
      </c>
    </row>
    <row r="82">
      <c r="A82" s="27" t="inlineStr">
        <is>
          <t xml:space="preserve">                     SERC=AL,AR,GA,KY,MO,MS,NC,SC,TN | SPP=KS,LA,OK | TRE=TX</t>
        </is>
      </c>
    </row>
    <row r="83">
      <c r="A83" s="27" t="inlineStr">
        <is>
          <t xml:space="preserve">                     WECC=AZ,CA,CO,ID,MT,NM,NV,OR,UT,WA,WY</t>
        </is>
      </c>
    </row>
    <row r="84">
      <c r="A84" s="27" t="inlineStr">
        <is>
          <t xml:space="preserve">  YELLOW = Table 16 convex-combination (Canadian provinces -- AFLEET does not cover Canada).</t>
        </is>
      </c>
    </row>
  </sheetData>
  <mergeCells count="21">
    <mergeCell ref="A77:N77"/>
    <mergeCell ref="A82:N82"/>
    <mergeCell ref="A73:N73"/>
    <mergeCell ref="A1:N1"/>
    <mergeCell ref="A79:N79"/>
    <mergeCell ref="A78:N78"/>
    <mergeCell ref="A75:N75"/>
    <mergeCell ref="A3:B3"/>
    <mergeCell ref="G3:H3"/>
    <mergeCell ref="A80:N80"/>
    <mergeCell ref="I3:J3"/>
    <mergeCell ref="A18:N18"/>
    <mergeCell ref="A74:N74"/>
    <mergeCell ref="A76:N76"/>
    <mergeCell ref="A71:N71"/>
    <mergeCell ref="A4:N4"/>
    <mergeCell ref="A72:N72"/>
    <mergeCell ref="A81:N81"/>
    <mergeCell ref="C3:D3"/>
    <mergeCell ref="E3:F3"/>
    <mergeCell ref="K3:L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jurisdiction</t>
        </is>
      </c>
      <c r="B1" s="19" t="inlineStr">
        <is>
          <t>gas_furnace_efficiency</t>
        </is>
      </c>
    </row>
    <row r="2">
      <c r="A2" t="inlineStr">
        <is>
          <t>QC</t>
        </is>
      </c>
      <c r="B2" t="n">
        <v>0.88</v>
      </c>
    </row>
    <row r="3">
      <c r="A3" t="inlineStr">
        <is>
          <t>ON</t>
        </is>
      </c>
      <c r="B3" t="n">
        <v>0.89</v>
      </c>
    </row>
    <row r="4">
      <c r="A4" t="inlineStr">
        <is>
          <t>AB</t>
        </is>
      </c>
      <c r="B4" t="n">
        <v>0.87</v>
      </c>
    </row>
    <row r="5">
      <c r="A5" t="inlineStr">
        <is>
          <t>BC</t>
        </is>
      </c>
      <c r="B5" t="n">
        <v>0.87</v>
      </c>
    </row>
    <row r="6">
      <c r="A6" t="inlineStr">
        <is>
          <t>MB</t>
        </is>
      </c>
      <c r="B6" t="n">
        <v>0.88</v>
      </c>
    </row>
    <row r="7">
      <c r="A7" t="inlineStr">
        <is>
          <t>SK</t>
        </is>
      </c>
      <c r="B7" t="n">
        <v>0.87</v>
      </c>
    </row>
    <row r="8">
      <c r="A8" t="inlineStr">
        <is>
          <t>NS</t>
        </is>
      </c>
      <c r="B8" t="n">
        <v>0.86</v>
      </c>
    </row>
    <row r="9">
      <c r="A9" t="inlineStr">
        <is>
          <t>NB</t>
        </is>
      </c>
      <c r="B9" t="n">
        <v>0.86</v>
      </c>
    </row>
    <row r="10">
      <c r="A10" t="inlineStr">
        <is>
          <t>NL</t>
        </is>
      </c>
      <c r="B10" t="n">
        <v>0.86</v>
      </c>
    </row>
    <row r="11">
      <c r="A11" t="inlineStr">
        <is>
          <t>PE</t>
        </is>
      </c>
      <c r="B11" t="n">
        <v>0.86</v>
      </c>
    </row>
    <row r="12">
      <c r="A12" t="inlineStr">
        <is>
          <t>YT</t>
        </is>
      </c>
      <c r="B12" t="n">
        <v>0.87</v>
      </c>
    </row>
    <row r="13">
      <c r="A13" t="inlineStr">
        <is>
          <t>NT</t>
        </is>
      </c>
      <c r="B13" t="n">
        <v>0.87</v>
      </c>
    </row>
    <row r="14">
      <c r="A14" t="inlineStr">
        <is>
          <t>NU</t>
        </is>
      </c>
      <c r="B14" t="n">
        <v>0.87</v>
      </c>
    </row>
    <row r="15">
      <c r="A15" t="inlineStr">
        <is>
          <t>CO</t>
        </is>
      </c>
      <c r="B15" t="n">
        <v>0.85</v>
      </c>
    </row>
    <row r="16">
      <c r="A16" t="inlineStr">
        <is>
          <t>MI</t>
        </is>
      </c>
      <c r="B16" t="n">
        <v>0.85</v>
      </c>
    </row>
    <row r="17">
      <c r="A17" t="inlineStr">
        <is>
          <t>NY</t>
        </is>
      </c>
      <c r="B17" t="n">
        <v>0.85</v>
      </c>
    </row>
    <row r="18">
      <c r="A18" t="inlineStr">
        <is>
          <t>WA</t>
        </is>
      </c>
      <c r="B18" t="n">
        <v>0.85</v>
      </c>
    </row>
    <row r="19">
      <c r="A19" t="inlineStr">
        <is>
          <t>AL</t>
        </is>
      </c>
      <c r="B19" t="n">
        <v>0.85</v>
      </c>
    </row>
    <row r="20">
      <c r="A20" t="inlineStr">
        <is>
          <t>AK</t>
        </is>
      </c>
      <c r="B20" t="n">
        <v>0.85</v>
      </c>
    </row>
    <row r="21">
      <c r="A21" t="inlineStr">
        <is>
          <t>AZ</t>
        </is>
      </c>
      <c r="B21" t="n">
        <v>0.85</v>
      </c>
    </row>
    <row r="22">
      <c r="A22" t="inlineStr">
        <is>
          <t>AR</t>
        </is>
      </c>
      <c r="B22" t="n">
        <v>0.85</v>
      </c>
    </row>
    <row r="23">
      <c r="A23" t="inlineStr">
        <is>
          <t>CA</t>
        </is>
      </c>
      <c r="B23" t="n">
        <v>0.85</v>
      </c>
    </row>
    <row r="24">
      <c r="A24" t="inlineStr">
        <is>
          <t>CT</t>
        </is>
      </c>
      <c r="B24" t="n">
        <v>0.85</v>
      </c>
    </row>
    <row r="25">
      <c r="A25" t="inlineStr">
        <is>
          <t>DE</t>
        </is>
      </c>
      <c r="B25" t="n">
        <v>0.85</v>
      </c>
    </row>
    <row r="26">
      <c r="A26" t="inlineStr">
        <is>
          <t>FL</t>
        </is>
      </c>
      <c r="B26" t="n">
        <v>0.85</v>
      </c>
    </row>
    <row r="27">
      <c r="A27" t="inlineStr">
        <is>
          <t>GA</t>
        </is>
      </c>
      <c r="B27" t="n">
        <v>0.85</v>
      </c>
    </row>
    <row r="28">
      <c r="A28" t="inlineStr">
        <is>
          <t>HI</t>
        </is>
      </c>
      <c r="B28" t="n">
        <v>0.85</v>
      </c>
    </row>
    <row r="29">
      <c r="A29" t="inlineStr">
        <is>
          <t>ID</t>
        </is>
      </c>
      <c r="B29" t="n">
        <v>0.85</v>
      </c>
    </row>
    <row r="30">
      <c r="A30" t="inlineStr">
        <is>
          <t>IL</t>
        </is>
      </c>
      <c r="B30" t="n">
        <v>0.85</v>
      </c>
    </row>
    <row r="31">
      <c r="A31" t="inlineStr">
        <is>
          <t>IN</t>
        </is>
      </c>
      <c r="B31" t="n">
        <v>0.85</v>
      </c>
    </row>
    <row r="32">
      <c r="A32" t="inlineStr">
        <is>
          <t>IA</t>
        </is>
      </c>
      <c r="B32" t="n">
        <v>0.85</v>
      </c>
    </row>
    <row r="33">
      <c r="A33" t="inlineStr">
        <is>
          <t>KS</t>
        </is>
      </c>
      <c r="B33" t="n">
        <v>0.85</v>
      </c>
    </row>
    <row r="34">
      <c r="A34" t="inlineStr">
        <is>
          <t>KY</t>
        </is>
      </c>
      <c r="B34" t="n">
        <v>0.85</v>
      </c>
    </row>
    <row r="35">
      <c r="A35" t="inlineStr">
        <is>
          <t>LA</t>
        </is>
      </c>
      <c r="B35" t="n">
        <v>0.85</v>
      </c>
    </row>
    <row r="36">
      <c r="A36" t="inlineStr">
        <is>
          <t>ME</t>
        </is>
      </c>
      <c r="B36" t="n">
        <v>0.85</v>
      </c>
    </row>
    <row r="37">
      <c r="A37" t="inlineStr">
        <is>
          <t>MD</t>
        </is>
      </c>
      <c r="B37" t="n">
        <v>0.85</v>
      </c>
    </row>
    <row r="38">
      <c r="A38" t="inlineStr">
        <is>
          <t>MA</t>
        </is>
      </c>
      <c r="B38" t="n">
        <v>0.85</v>
      </c>
    </row>
    <row r="39">
      <c r="A39" t="inlineStr">
        <is>
          <t>MN</t>
        </is>
      </c>
      <c r="B39" t="n">
        <v>0.85</v>
      </c>
    </row>
    <row r="40">
      <c r="A40" t="inlineStr">
        <is>
          <t>MS</t>
        </is>
      </c>
      <c r="B40" t="n">
        <v>0.85</v>
      </c>
    </row>
    <row r="41">
      <c r="A41" t="inlineStr">
        <is>
          <t>MO</t>
        </is>
      </c>
      <c r="B41" t="n">
        <v>0.85</v>
      </c>
    </row>
    <row r="42">
      <c r="A42" t="inlineStr">
        <is>
          <t>MT</t>
        </is>
      </c>
      <c r="B42" t="n">
        <v>0.85</v>
      </c>
    </row>
    <row r="43">
      <c r="A43" t="inlineStr">
        <is>
          <t>NE</t>
        </is>
      </c>
      <c r="B43" t="n">
        <v>0.85</v>
      </c>
    </row>
    <row r="44">
      <c r="A44" t="inlineStr">
        <is>
          <t>NV</t>
        </is>
      </c>
      <c r="B44" t="n">
        <v>0.85</v>
      </c>
    </row>
    <row r="45">
      <c r="A45" t="inlineStr">
        <is>
          <t>NH</t>
        </is>
      </c>
      <c r="B45" t="n">
        <v>0.85</v>
      </c>
    </row>
    <row r="46">
      <c r="A46" t="inlineStr">
        <is>
          <t>NJ</t>
        </is>
      </c>
      <c r="B46" t="n">
        <v>0.85</v>
      </c>
    </row>
    <row r="47">
      <c r="A47" t="inlineStr">
        <is>
          <t>NM</t>
        </is>
      </c>
      <c r="B47" t="n">
        <v>0.85</v>
      </c>
    </row>
    <row r="48">
      <c r="A48" t="inlineStr">
        <is>
          <t>NC</t>
        </is>
      </c>
      <c r="B48" t="n">
        <v>0.85</v>
      </c>
    </row>
    <row r="49">
      <c r="A49" t="inlineStr">
        <is>
          <t>ND</t>
        </is>
      </c>
      <c r="B49" t="n">
        <v>0.85</v>
      </c>
    </row>
    <row r="50">
      <c r="A50" t="inlineStr">
        <is>
          <t>OH</t>
        </is>
      </c>
      <c r="B50" t="n">
        <v>0.85</v>
      </c>
    </row>
    <row r="51">
      <c r="A51" t="inlineStr">
        <is>
          <t>OK</t>
        </is>
      </c>
      <c r="B51" t="n">
        <v>0.85</v>
      </c>
    </row>
    <row r="52">
      <c r="A52" t="inlineStr">
        <is>
          <t>OR</t>
        </is>
      </c>
      <c r="B52" t="n">
        <v>0.85</v>
      </c>
    </row>
    <row r="53">
      <c r="A53" t="inlineStr">
        <is>
          <t>PA</t>
        </is>
      </c>
      <c r="B53" t="n">
        <v>0.85</v>
      </c>
    </row>
    <row r="54">
      <c r="A54" t="inlineStr">
        <is>
          <t>RI</t>
        </is>
      </c>
      <c r="B54" t="n">
        <v>0.85</v>
      </c>
    </row>
    <row r="55">
      <c r="A55" t="inlineStr">
        <is>
          <t>SC</t>
        </is>
      </c>
      <c r="B55" t="n">
        <v>0.85</v>
      </c>
    </row>
    <row r="56">
      <c r="A56" t="inlineStr">
        <is>
          <t>SD</t>
        </is>
      </c>
      <c r="B56" t="n">
        <v>0.85</v>
      </c>
    </row>
    <row r="57">
      <c r="A57" t="inlineStr">
        <is>
          <t>TN</t>
        </is>
      </c>
      <c r="B57" t="n">
        <v>0.85</v>
      </c>
    </row>
    <row r="58">
      <c r="A58" t="inlineStr">
        <is>
          <t>TX</t>
        </is>
      </c>
      <c r="B58" t="n">
        <v>0.85</v>
      </c>
    </row>
    <row r="59">
      <c r="A59" t="inlineStr">
        <is>
          <t>UT</t>
        </is>
      </c>
      <c r="B59" t="n">
        <v>0.85</v>
      </c>
    </row>
    <row r="60">
      <c r="A60" t="inlineStr">
        <is>
          <t>VT</t>
        </is>
      </c>
      <c r="B60" t="n">
        <v>0.85</v>
      </c>
    </row>
    <row r="61">
      <c r="A61" t="inlineStr">
        <is>
          <t>VA</t>
        </is>
      </c>
      <c r="B61" t="n">
        <v>0.85</v>
      </c>
    </row>
    <row r="62">
      <c r="A62" t="inlineStr">
        <is>
          <t>WV</t>
        </is>
      </c>
      <c r="B62" t="n">
        <v>0.85</v>
      </c>
    </row>
    <row r="63">
      <c r="A63" t="inlineStr">
        <is>
          <t>WI</t>
        </is>
      </c>
      <c r="B63" t="n">
        <v>0.85</v>
      </c>
    </row>
    <row r="64">
      <c r="A64" t="inlineStr">
        <is>
          <t>WY</t>
        </is>
      </c>
      <c r="B64" t="n">
        <v>0.85</v>
      </c>
    </row>
    <row r="65">
      <c r="A65" t="inlineStr">
        <is>
          <t>DC</t>
        </is>
      </c>
      <c r="B65" t="n">
        <v>0.85</v>
      </c>
    </row>
    <row r="66">
      <c r="A66" t="inlineStr">
        <is>
          <t>PR</t>
        </is>
      </c>
      <c r="B66" t="n">
        <v>0.85</v>
      </c>
    </row>
    <row r="67">
      <c r="A67" t="inlineStr">
        <is>
          <t>VI</t>
        </is>
      </c>
      <c r="B67" t="n">
        <v>0.85</v>
      </c>
    </row>
    <row r="68">
      <c r="A68" t="inlineStr">
        <is>
          <t>CA (QC/ON/AB/BC): NRCan CEUD Table 21 stock split × Table 26 tier efficiencies (Medium 80%, High 90%); others use national CA average 0.87-0.88. US: ~0.85 national fleet AFUE (DOE/AHRI condensing share ~40-45%).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jurisdiction</t>
        </is>
      </c>
      <c r="B1" s="19" t="inlineStr">
        <is>
          <t>hp_seasonal_COP_electric</t>
        </is>
      </c>
      <c r="C1" t="inlineStr">
        <is>
          <t>fhp_natgas_backup</t>
        </is>
      </c>
      <c r="D1" t="inlineStr">
        <is>
          <t>cop_op_natgas</t>
        </is>
      </c>
      <c r="E1" t="inlineStr">
        <is>
          <t>fhp_oilprop_backup</t>
        </is>
      </c>
      <c r="F1" t="inlineStr">
        <is>
          <t>cop_op_oilprop</t>
        </is>
      </c>
      <c r="G1" t="inlineStr">
        <is>
          <t>switchover_gas_degC</t>
        </is>
      </c>
      <c r="H1" t="inlineStr">
        <is>
          <t>switchover_oilprop_degC</t>
        </is>
      </c>
      <c r="I1" t="inlineStr">
        <is>
          <t>elec_price_c_per_kWh</t>
        </is>
      </c>
      <c r="J1" t="inlineStr">
        <is>
          <t>backup_gas_price_per_GJ</t>
        </is>
      </c>
    </row>
    <row r="2">
      <c r="A2" t="inlineStr">
        <is>
          <t>QC</t>
        </is>
      </c>
      <c r="B2" t="n">
        <v>1.848</v>
      </c>
      <c r="C2" t="n">
        <v>0.971</v>
      </c>
      <c r="D2" t="n">
        <v>1.889</v>
      </c>
      <c r="E2" t="n">
        <v>0.971</v>
      </c>
      <c r="F2" t="n">
        <v>1.889</v>
      </c>
      <c r="G2" t="n">
        <v>-15</v>
      </c>
      <c r="H2" t="n">
        <v>-15</v>
      </c>
      <c r="I2" t="n">
        <v>7.8</v>
      </c>
      <c r="J2" t="n">
        <v>16</v>
      </c>
    </row>
    <row r="3">
      <c r="A3" t="inlineStr">
        <is>
          <t>ON</t>
        </is>
      </c>
      <c r="B3" t="n">
        <v>2.069</v>
      </c>
      <c r="C3" t="n">
        <v>0.464</v>
      </c>
      <c r="D3" t="n">
        <v>2.442</v>
      </c>
      <c r="E3" t="n">
        <v>0.998</v>
      </c>
      <c r="F3" t="n">
        <v>2.072</v>
      </c>
      <c r="G3" t="n">
        <v>0</v>
      </c>
      <c r="H3" t="n">
        <v>-15</v>
      </c>
      <c r="I3" t="n">
        <v>14.1</v>
      </c>
      <c r="J3" t="n">
        <v>11</v>
      </c>
    </row>
    <row r="4">
      <c r="A4" t="inlineStr">
        <is>
          <t>AB</t>
        </is>
      </c>
      <c r="B4" t="n">
        <v>1.961</v>
      </c>
      <c r="C4" t="n">
        <v>0.373</v>
      </c>
      <c r="D4" t="n">
        <v>2.467</v>
      </c>
      <c r="E4" t="n">
        <v>0.971</v>
      </c>
      <c r="F4" t="n">
        <v>1.991</v>
      </c>
      <c r="G4" t="n">
        <v>0</v>
      </c>
      <c r="H4" t="n">
        <v>-13</v>
      </c>
      <c r="I4" t="n">
        <v>25.8</v>
      </c>
      <c r="J4" t="n">
        <v>9</v>
      </c>
    </row>
    <row r="5">
      <c r="A5" t="inlineStr">
        <is>
          <t>BC</t>
        </is>
      </c>
      <c r="B5" t="n">
        <v>2.453</v>
      </c>
      <c r="C5" t="n">
        <v>0.891</v>
      </c>
      <c r="D5" t="n">
        <v>2.531</v>
      </c>
      <c r="E5" t="n">
        <v>1</v>
      </c>
      <c r="F5" t="n">
        <v>2.453</v>
      </c>
      <c r="G5" t="n">
        <v>0</v>
      </c>
      <c r="H5" t="n">
        <v>-15</v>
      </c>
      <c r="I5" t="n">
        <v>11.4</v>
      </c>
      <c r="J5" t="n">
        <v>13</v>
      </c>
    </row>
    <row r="6">
      <c r="A6" t="inlineStr">
        <is>
          <t>MB</t>
        </is>
      </c>
      <c r="B6" t="n">
        <v>1.496</v>
      </c>
      <c r="C6" t="n">
        <v>0.18</v>
      </c>
      <c r="D6" t="n">
        <v>2.481</v>
      </c>
      <c r="E6" t="n">
        <v>0.733</v>
      </c>
      <c r="F6" t="n">
        <v>1.79</v>
      </c>
      <c r="G6" t="n">
        <v>0</v>
      </c>
      <c r="H6" t="n">
        <v>-15</v>
      </c>
      <c r="I6" t="n">
        <v>10.2</v>
      </c>
      <c r="J6" t="n">
        <v>9.5</v>
      </c>
    </row>
    <row r="7">
      <c r="A7" t="inlineStr">
        <is>
          <t>SK</t>
        </is>
      </c>
      <c r="B7" t="n">
        <v>1.549</v>
      </c>
      <c r="C7" t="n">
        <v>0.194</v>
      </c>
      <c r="D7" t="n">
        <v>2.483</v>
      </c>
      <c r="E7" t="n">
        <v>0.782</v>
      </c>
      <c r="F7" t="n">
        <v>1.796</v>
      </c>
      <c r="G7" t="n">
        <v>0</v>
      </c>
      <c r="H7" t="n">
        <v>-15</v>
      </c>
      <c r="I7" t="n">
        <v>19.9</v>
      </c>
      <c r="J7" t="n">
        <v>10</v>
      </c>
    </row>
    <row r="8">
      <c r="A8" t="inlineStr">
        <is>
          <t>NS</t>
        </is>
      </c>
      <c r="B8" t="n">
        <v>2.08</v>
      </c>
      <c r="C8" t="n">
        <v>0.476</v>
      </c>
      <c r="D8" t="n">
        <v>2.452</v>
      </c>
      <c r="E8" t="n">
        <v>0.999</v>
      </c>
      <c r="F8" t="n">
        <v>2.083</v>
      </c>
      <c r="G8" t="n">
        <v>0</v>
      </c>
      <c r="H8" t="n">
        <v>-15</v>
      </c>
      <c r="I8" t="n">
        <v>18.3</v>
      </c>
      <c r="J8" t="n">
        <v>20</v>
      </c>
    </row>
    <row r="9">
      <c r="A9" t="inlineStr">
        <is>
          <t>NB</t>
        </is>
      </c>
      <c r="B9" t="n">
        <v>1.855</v>
      </c>
      <c r="C9" t="n">
        <v>0.609</v>
      </c>
      <c r="D9" t="n">
        <v>2.129</v>
      </c>
      <c r="E9" t="n">
        <v>0.971</v>
      </c>
      <c r="F9" t="n">
        <v>1.896</v>
      </c>
      <c r="G9" t="n">
        <v>-6.3</v>
      </c>
      <c r="H9" t="n">
        <v>-15</v>
      </c>
      <c r="I9" t="n">
        <v>13.9</v>
      </c>
      <c r="J9" t="n">
        <v>20</v>
      </c>
    </row>
    <row r="10">
      <c r="A10" t="inlineStr">
        <is>
          <t>NL</t>
        </is>
      </c>
      <c r="B10" t="n">
        <v>2.09</v>
      </c>
      <c r="C10" t="n">
        <v>0.999</v>
      </c>
      <c r="D10" t="n">
        <v>2.092</v>
      </c>
      <c r="E10" t="n">
        <v>0.999</v>
      </c>
      <c r="F10" t="n">
        <v>2.092</v>
      </c>
      <c r="G10" t="n">
        <v>-15</v>
      </c>
      <c r="H10" t="n">
        <v>-15</v>
      </c>
      <c r="I10" t="n">
        <v>14.8</v>
      </c>
      <c r="J10" t="n">
        <v>30</v>
      </c>
    </row>
    <row r="11">
      <c r="A11" t="inlineStr">
        <is>
          <t>PE</t>
        </is>
      </c>
      <c r="B11" t="n">
        <v>1.928</v>
      </c>
      <c r="C11" t="n">
        <v>0.9409999999999999</v>
      </c>
      <c r="D11" t="n">
        <v>1.978</v>
      </c>
      <c r="E11" t="n">
        <v>0.987</v>
      </c>
      <c r="F11" t="n">
        <v>1.949</v>
      </c>
      <c r="G11" t="n">
        <v>-11.5</v>
      </c>
      <c r="H11" t="n">
        <v>-15</v>
      </c>
      <c r="I11" t="n">
        <v>18.4</v>
      </c>
      <c r="J11" t="n">
        <v>30</v>
      </c>
    </row>
    <row r="12">
      <c r="A12" t="inlineStr">
        <is>
          <t>YT</t>
        </is>
      </c>
      <c r="B12" t="n">
        <v>1.578</v>
      </c>
      <c r="C12" t="n">
        <v>0.592</v>
      </c>
      <c r="D12" t="n">
        <v>1.972</v>
      </c>
      <c r="E12" t="n">
        <v>0.796</v>
      </c>
      <c r="F12" t="n">
        <v>1.823</v>
      </c>
      <c r="G12" t="n">
        <v>-10.8</v>
      </c>
      <c r="H12" t="n">
        <v>-15</v>
      </c>
      <c r="I12" t="n">
        <v>18.7</v>
      </c>
      <c r="J12" t="n">
        <v>30</v>
      </c>
    </row>
    <row r="13">
      <c r="A13" t="inlineStr">
        <is>
          <t>NT</t>
        </is>
      </c>
      <c r="B13" t="n">
        <v>1.246</v>
      </c>
      <c r="C13" t="n">
        <v>0.137</v>
      </c>
      <c r="D13" t="n">
        <v>2.505</v>
      </c>
      <c r="E13" t="n">
        <v>0.137</v>
      </c>
      <c r="F13" t="n">
        <v>2.505</v>
      </c>
      <c r="G13" t="n">
        <v>0</v>
      </c>
      <c r="H13" t="n">
        <v>0</v>
      </c>
      <c r="I13" t="n">
        <v>41</v>
      </c>
      <c r="J13" t="n">
        <v>30</v>
      </c>
    </row>
    <row r="14">
      <c r="A14" t="inlineStr">
        <is>
          <t>NU</t>
        </is>
      </c>
      <c r="B14" t="n">
        <v>1.234</v>
      </c>
      <c r="C14" t="n">
        <v>0.134</v>
      </c>
      <c r="D14" t="n">
        <v>2.4</v>
      </c>
      <c r="E14" t="n">
        <v>0.142</v>
      </c>
      <c r="F14" t="n">
        <v>2.38</v>
      </c>
      <c r="G14" t="n">
        <v>0</v>
      </c>
      <c r="H14" t="n">
        <v>-0.4</v>
      </c>
      <c r="I14" t="n">
        <v>35.4</v>
      </c>
      <c r="J14" t="n">
        <v>30</v>
      </c>
    </row>
    <row r="15">
      <c r="A15" t="inlineStr">
        <is>
          <t>CO</t>
        </is>
      </c>
      <c r="B15" t="n">
        <v>1.885</v>
      </c>
      <c r="C15" t="n">
        <v>0.628</v>
      </c>
      <c r="D15" t="n">
        <v>2.091</v>
      </c>
      <c r="E15" t="n">
        <v>0.993</v>
      </c>
      <c r="F15" t="n">
        <v>1.891</v>
      </c>
      <c r="G15" t="n">
        <v>0</v>
      </c>
      <c r="H15" t="n">
        <v>-9.800000000000001</v>
      </c>
      <c r="I15" t="n">
        <v>16.54</v>
      </c>
      <c r="J15" t="n">
        <v>10.74</v>
      </c>
    </row>
    <row r="16">
      <c r="A16" t="inlineStr">
        <is>
          <t>MI</t>
        </is>
      </c>
      <c r="B16" t="n">
        <v>1.745</v>
      </c>
      <c r="C16" t="n">
        <v>0.432</v>
      </c>
      <c r="D16" t="n">
        <v>2.083</v>
      </c>
      <c r="E16" t="n">
        <v>0.462</v>
      </c>
      <c r="F16" t="n">
        <v>2.059</v>
      </c>
      <c r="G16" t="n">
        <v>0</v>
      </c>
      <c r="H16" t="n">
        <v>-0.1</v>
      </c>
      <c r="I16" t="n">
        <v>21.39</v>
      </c>
      <c r="J16" t="n">
        <v>10.45</v>
      </c>
    </row>
    <row r="17">
      <c r="A17" t="inlineStr">
        <is>
          <t>NY</t>
        </is>
      </c>
      <c r="B17" t="n">
        <v>1.897</v>
      </c>
      <c r="C17" t="n">
        <v>0.65</v>
      </c>
      <c r="D17" t="n">
        <v>2.086</v>
      </c>
      <c r="E17" t="n">
        <v>0.65</v>
      </c>
      <c r="F17" t="n">
        <v>2.086</v>
      </c>
      <c r="G17" t="n">
        <v>0</v>
      </c>
      <c r="H17" t="n">
        <v>0</v>
      </c>
      <c r="I17" t="n">
        <v>29.45</v>
      </c>
      <c r="J17" t="n">
        <v>17.44</v>
      </c>
    </row>
    <row r="18">
      <c r="A18" t="inlineStr">
        <is>
          <t>WA</t>
        </is>
      </c>
      <c r="B18" t="n">
        <v>2.139</v>
      </c>
      <c r="C18" t="n">
        <v>0.923</v>
      </c>
      <c r="D18" t="n">
        <v>2.188</v>
      </c>
      <c r="E18" t="n">
        <v>1</v>
      </c>
      <c r="F18" t="n">
        <v>2.139</v>
      </c>
      <c r="G18" t="n">
        <v>0</v>
      </c>
      <c r="H18" t="n">
        <v>-15</v>
      </c>
      <c r="I18" t="n">
        <v>14.36</v>
      </c>
      <c r="J18" t="n">
        <v>12</v>
      </c>
    </row>
    <row r="19">
      <c r="A19" t="inlineStr">
        <is>
          <t>AL</t>
        </is>
      </c>
      <c r="B19" t="n">
        <v>2.208</v>
      </c>
      <c r="C19" t="n">
        <v>0.963</v>
      </c>
      <c r="D19" t="n">
        <v>2.233</v>
      </c>
      <c r="E19" t="n">
        <v>1</v>
      </c>
      <c r="F19" t="n">
        <v>2.208</v>
      </c>
      <c r="G19" t="n">
        <v>0</v>
      </c>
      <c r="H19" t="n">
        <v>-7.7</v>
      </c>
      <c r="I19" t="n">
        <v>17.41</v>
      </c>
      <c r="J19" t="n">
        <v>16.46</v>
      </c>
    </row>
    <row r="20">
      <c r="A20" t="inlineStr">
        <is>
          <t>AK</t>
        </is>
      </c>
      <c r="B20" t="n">
        <v>1.648</v>
      </c>
      <c r="C20" t="n">
        <v>0.351</v>
      </c>
      <c r="D20" t="n">
        <v>2.1</v>
      </c>
      <c r="E20" t="n">
        <v>0.351</v>
      </c>
      <c r="F20" t="n">
        <v>2.1</v>
      </c>
      <c r="G20" t="n">
        <v>0</v>
      </c>
      <c r="H20" t="n">
        <v>0</v>
      </c>
      <c r="I20" t="n">
        <v>27.35</v>
      </c>
      <c r="J20" t="n">
        <v>11.96</v>
      </c>
    </row>
    <row r="21">
      <c r="A21" t="inlineStr">
        <is>
          <t>AZ</t>
        </is>
      </c>
      <c r="B21" t="n">
        <v>2.45</v>
      </c>
      <c r="C21" t="n">
        <v>0.999</v>
      </c>
      <c r="D21" t="n">
        <v>2.451</v>
      </c>
      <c r="E21" t="n">
        <v>1</v>
      </c>
      <c r="F21" t="n">
        <v>2.45</v>
      </c>
      <c r="G21" t="n">
        <v>0</v>
      </c>
      <c r="H21" t="n">
        <v>-12.9</v>
      </c>
      <c r="I21" t="n">
        <v>15.48</v>
      </c>
      <c r="J21" t="n">
        <v>18.17</v>
      </c>
    </row>
    <row r="22">
      <c r="A22" t="inlineStr">
        <is>
          <t>AR</t>
        </is>
      </c>
      <c r="B22" t="n">
        <v>2.119</v>
      </c>
      <c r="C22" t="n">
        <v>0.993</v>
      </c>
      <c r="D22" t="n">
        <v>2.125</v>
      </c>
      <c r="E22" t="n">
        <v>1</v>
      </c>
      <c r="F22" t="n">
        <v>2.119</v>
      </c>
      <c r="G22" t="n">
        <v>-4.4</v>
      </c>
      <c r="H22" t="n">
        <v>-15</v>
      </c>
      <c r="I22" t="n">
        <v>14.16</v>
      </c>
      <c r="J22" t="n">
        <v>22.67</v>
      </c>
    </row>
    <row r="23">
      <c r="A23" t="inlineStr">
        <is>
          <t>CA</t>
        </is>
      </c>
      <c r="B23" t="n">
        <v>2.492</v>
      </c>
      <c r="C23" t="n">
        <v>0.999</v>
      </c>
      <c r="D23" t="n">
        <v>2.493</v>
      </c>
      <c r="E23" t="n">
        <v>0.999</v>
      </c>
      <c r="F23" t="n">
        <v>2.493</v>
      </c>
      <c r="G23" t="n">
        <v>0</v>
      </c>
      <c r="H23" t="n">
        <v>0</v>
      </c>
      <c r="I23" t="n">
        <v>35.25</v>
      </c>
      <c r="J23" t="n">
        <v>19.12</v>
      </c>
    </row>
    <row r="24">
      <c r="A24" t="inlineStr">
        <is>
          <t>CT</t>
        </is>
      </c>
      <c r="B24" t="n">
        <v>1.784</v>
      </c>
      <c r="C24" t="n">
        <v>0.483</v>
      </c>
      <c r="D24" t="n">
        <v>2.083</v>
      </c>
      <c r="E24" t="n">
        <v>0.483</v>
      </c>
      <c r="F24" t="n">
        <v>2.083</v>
      </c>
      <c r="G24" t="n">
        <v>0</v>
      </c>
      <c r="H24" t="n">
        <v>0</v>
      </c>
      <c r="I24" t="n">
        <v>32.24</v>
      </c>
      <c r="J24" t="n">
        <v>18.04</v>
      </c>
    </row>
    <row r="25">
      <c r="A25" t="inlineStr">
        <is>
          <t>DE</t>
        </is>
      </c>
      <c r="B25" t="n">
        <v>1.956</v>
      </c>
      <c r="C25" t="n">
        <v>0.738</v>
      </c>
      <c r="D25" t="n">
        <v>2.098</v>
      </c>
      <c r="E25" t="n">
        <v>0.958</v>
      </c>
      <c r="F25" t="n">
        <v>1.985</v>
      </c>
      <c r="G25" t="n">
        <v>0</v>
      </c>
      <c r="H25" t="n">
        <v>-4.8</v>
      </c>
      <c r="I25" t="n">
        <v>18.79</v>
      </c>
      <c r="J25" t="n">
        <v>15.82</v>
      </c>
    </row>
    <row r="26">
      <c r="A26" t="inlineStr">
        <is>
          <t>FL</t>
        </is>
      </c>
      <c r="B26" t="n">
        <v>2.667</v>
      </c>
      <c r="C26" t="n">
        <v>1</v>
      </c>
      <c r="D26" t="n">
        <v>2.667</v>
      </c>
      <c r="E26" t="n">
        <v>1</v>
      </c>
      <c r="F26" t="n">
        <v>2.667</v>
      </c>
      <c r="G26" t="n">
        <v>0</v>
      </c>
      <c r="H26" t="n">
        <v>-13.2</v>
      </c>
      <c r="I26" t="n">
        <v>15.38</v>
      </c>
      <c r="J26" t="n">
        <v>20.3</v>
      </c>
    </row>
    <row r="27">
      <c r="A27" t="inlineStr">
        <is>
          <t>GA</t>
        </is>
      </c>
      <c r="B27" t="n">
        <v>2.208</v>
      </c>
      <c r="C27" t="n">
        <v>0.963</v>
      </c>
      <c r="D27" t="n">
        <v>2.233</v>
      </c>
      <c r="E27" t="n">
        <v>1</v>
      </c>
      <c r="F27" t="n">
        <v>2.208</v>
      </c>
      <c r="G27" t="n">
        <v>0</v>
      </c>
      <c r="H27" t="n">
        <v>-13.2</v>
      </c>
      <c r="I27" t="n">
        <v>15.37</v>
      </c>
      <c r="J27" t="n">
        <v>16.99</v>
      </c>
    </row>
    <row r="28">
      <c r="A28" t="inlineStr">
        <is>
          <t>HI</t>
        </is>
      </c>
      <c r="B28" t="n">
        <v>2.727</v>
      </c>
      <c r="C28" t="n">
        <v>1</v>
      </c>
      <c r="D28" t="n">
        <v>2.727</v>
      </c>
      <c r="E28" t="n">
        <v>1</v>
      </c>
      <c r="F28" t="n">
        <v>2.727</v>
      </c>
      <c r="G28" t="n">
        <v>0</v>
      </c>
      <c r="H28" t="n">
        <v>0</v>
      </c>
      <c r="I28" t="n">
        <v>46.62</v>
      </c>
      <c r="J28" t="n">
        <v>56.2</v>
      </c>
    </row>
    <row r="29">
      <c r="A29" t="inlineStr">
        <is>
          <t>ID</t>
        </is>
      </c>
      <c r="B29" t="n">
        <v>1.881</v>
      </c>
      <c r="C29" t="n">
        <v>0.624</v>
      </c>
      <c r="D29" t="n">
        <v>2.087</v>
      </c>
      <c r="E29" t="n">
        <v>1</v>
      </c>
      <c r="F29" t="n">
        <v>1.881</v>
      </c>
      <c r="G29" t="n">
        <v>0</v>
      </c>
      <c r="H29" t="n">
        <v>-15</v>
      </c>
      <c r="I29" t="n">
        <v>12.7</v>
      </c>
      <c r="J29" t="n">
        <v>7.17</v>
      </c>
    </row>
    <row r="30">
      <c r="A30" t="inlineStr">
        <is>
          <t>IL</t>
        </is>
      </c>
      <c r="B30" t="n">
        <v>1.745</v>
      </c>
      <c r="C30" t="n">
        <v>0.432</v>
      </c>
      <c r="D30" t="n">
        <v>2.083</v>
      </c>
      <c r="E30" t="n">
        <v>0.5570000000000001</v>
      </c>
      <c r="F30" t="n">
        <v>1.992</v>
      </c>
      <c r="G30" t="n">
        <v>0</v>
      </c>
      <c r="H30" t="n">
        <v>-1.7</v>
      </c>
      <c r="I30" t="n">
        <v>20.47</v>
      </c>
      <c r="J30" t="n">
        <v>11.17</v>
      </c>
    </row>
    <row r="31">
      <c r="A31" t="inlineStr">
        <is>
          <t>IN</t>
        </is>
      </c>
      <c r="B31" t="n">
        <v>1.815</v>
      </c>
      <c r="C31" t="n">
        <v>0.529</v>
      </c>
      <c r="D31" t="n">
        <v>2.075</v>
      </c>
      <c r="E31" t="n">
        <v>0.928</v>
      </c>
      <c r="F31" t="n">
        <v>1.859</v>
      </c>
      <c r="G31" t="n">
        <v>0</v>
      </c>
      <c r="H31" t="n">
        <v>-6.6</v>
      </c>
      <c r="I31" t="n">
        <v>17.9</v>
      </c>
      <c r="J31" t="n">
        <v>11.53</v>
      </c>
    </row>
    <row r="32">
      <c r="A32" t="inlineStr">
        <is>
          <t>IA</t>
        </is>
      </c>
      <c r="B32" t="n">
        <v>1.669</v>
      </c>
      <c r="C32" t="n">
        <v>0.347</v>
      </c>
      <c r="D32" t="n">
        <v>2.086</v>
      </c>
      <c r="E32" t="n">
        <v>0.992</v>
      </c>
      <c r="F32" t="n">
        <v>1.677</v>
      </c>
      <c r="G32" t="n">
        <v>0</v>
      </c>
      <c r="H32" t="n">
        <v>-15</v>
      </c>
      <c r="I32" t="n">
        <v>13.86</v>
      </c>
      <c r="J32" t="n">
        <v>11.07</v>
      </c>
    </row>
    <row r="33">
      <c r="A33" t="inlineStr">
        <is>
          <t>KS</t>
        </is>
      </c>
      <c r="B33" t="n">
        <v>1.911</v>
      </c>
      <c r="C33" t="n">
        <v>0.675</v>
      </c>
      <c r="D33" t="n">
        <v>2.083</v>
      </c>
      <c r="E33" t="n">
        <v>0.999</v>
      </c>
      <c r="F33" t="n">
        <v>1.911</v>
      </c>
      <c r="G33" t="n">
        <v>0</v>
      </c>
      <c r="H33" t="n">
        <v>-11.9</v>
      </c>
      <c r="I33" t="n">
        <v>15.78</v>
      </c>
      <c r="J33" t="n">
        <v>14.36</v>
      </c>
    </row>
    <row r="34">
      <c r="A34" t="inlineStr">
        <is>
          <t>KY</t>
        </is>
      </c>
      <c r="B34" t="n">
        <v>1.996</v>
      </c>
      <c r="C34" t="n">
        <v>0.791</v>
      </c>
      <c r="D34" t="n">
        <v>2.11</v>
      </c>
      <c r="E34" t="n">
        <v>1</v>
      </c>
      <c r="F34" t="n">
        <v>1.996</v>
      </c>
      <c r="G34" t="n">
        <v>0</v>
      </c>
      <c r="H34" t="n">
        <v>-14.4</v>
      </c>
      <c r="I34" t="n">
        <v>15.02</v>
      </c>
      <c r="J34" t="n">
        <v>17.65</v>
      </c>
    </row>
    <row r="35">
      <c r="A35" t="inlineStr">
        <is>
          <t>LA</t>
        </is>
      </c>
      <c r="B35" t="n">
        <v>2.413</v>
      </c>
      <c r="C35" t="n">
        <v>0.998</v>
      </c>
      <c r="D35" t="n">
        <v>2.416</v>
      </c>
      <c r="E35" t="n">
        <v>1</v>
      </c>
      <c r="F35" t="n">
        <v>2.413</v>
      </c>
      <c r="G35" t="n">
        <v>0</v>
      </c>
      <c r="H35" t="n">
        <v>-15</v>
      </c>
      <c r="I35" t="n">
        <v>14.44</v>
      </c>
      <c r="J35" t="n">
        <v>12.92</v>
      </c>
    </row>
    <row r="36">
      <c r="A36" t="inlineStr">
        <is>
          <t>ME</t>
        </is>
      </c>
      <c r="B36" t="n">
        <v>1.679</v>
      </c>
      <c r="C36" t="n">
        <v>0.36</v>
      </c>
      <c r="D36" t="n">
        <v>2.097</v>
      </c>
      <c r="E36" t="n">
        <v>0.36</v>
      </c>
      <c r="F36" t="n">
        <v>2.097</v>
      </c>
      <c r="G36" t="n">
        <v>0</v>
      </c>
      <c r="H36" t="n">
        <v>0</v>
      </c>
      <c r="I36" t="n">
        <v>28.42</v>
      </c>
      <c r="J36" t="n">
        <v>14.77</v>
      </c>
    </row>
    <row r="37">
      <c r="A37" t="inlineStr">
        <is>
          <t>MD</t>
        </is>
      </c>
      <c r="B37" t="n">
        <v>1.956</v>
      </c>
      <c r="C37" t="n">
        <v>0.738</v>
      </c>
      <c r="D37" t="n">
        <v>2.098</v>
      </c>
      <c r="E37" t="n">
        <v>0.738</v>
      </c>
      <c r="F37" t="n">
        <v>2.098</v>
      </c>
      <c r="G37" t="n">
        <v>0</v>
      </c>
      <c r="H37" t="n">
        <v>0</v>
      </c>
      <c r="I37" t="n">
        <v>22.07</v>
      </c>
      <c r="J37" t="n">
        <v>15.87</v>
      </c>
    </row>
    <row r="38">
      <c r="A38" t="inlineStr">
        <is>
          <t>MA</t>
        </is>
      </c>
      <c r="B38" t="n">
        <v>1.86</v>
      </c>
      <c r="C38" t="n">
        <v>0.593</v>
      </c>
      <c r="D38" t="n">
        <v>2.084</v>
      </c>
      <c r="E38" t="n">
        <v>0.593</v>
      </c>
      <c r="F38" t="n">
        <v>2.084</v>
      </c>
      <c r="G38" t="n">
        <v>0</v>
      </c>
      <c r="H38" t="n">
        <v>0</v>
      </c>
      <c r="I38" t="n">
        <v>29.45</v>
      </c>
      <c r="J38" t="n">
        <v>25.08</v>
      </c>
    </row>
    <row r="39">
      <c r="A39" t="inlineStr">
        <is>
          <t>MN</t>
        </is>
      </c>
      <c r="B39" t="n">
        <v>1.585</v>
      </c>
      <c r="C39" t="n">
        <v>0.28</v>
      </c>
      <c r="D39" t="n">
        <v>2.1</v>
      </c>
      <c r="E39" t="n">
        <v>0.83</v>
      </c>
      <c r="F39" t="n">
        <v>1.679</v>
      </c>
      <c r="G39" t="n">
        <v>0</v>
      </c>
      <c r="H39" t="n">
        <v>-10.2</v>
      </c>
      <c r="I39" t="n">
        <v>16.39</v>
      </c>
      <c r="J39" t="n">
        <v>13.23</v>
      </c>
    </row>
    <row r="40">
      <c r="A40" t="inlineStr">
        <is>
          <t>MS</t>
        </is>
      </c>
      <c r="B40" t="n">
        <v>2.249</v>
      </c>
      <c r="C40" t="n">
        <v>0.977</v>
      </c>
      <c r="D40" t="n">
        <v>2.267</v>
      </c>
      <c r="E40" t="n">
        <v>1</v>
      </c>
      <c r="F40" t="n">
        <v>2.249</v>
      </c>
      <c r="G40" t="n">
        <v>0</v>
      </c>
      <c r="H40" t="n">
        <v>-9.300000000000001</v>
      </c>
      <c r="I40" t="n">
        <v>16.76</v>
      </c>
      <c r="J40" t="n">
        <v>17.11</v>
      </c>
    </row>
    <row r="41">
      <c r="A41" t="inlineStr">
        <is>
          <t>MO</t>
        </is>
      </c>
      <c r="B41" t="n">
        <v>1.911</v>
      </c>
      <c r="C41" t="n">
        <v>0.675</v>
      </c>
      <c r="D41" t="n">
        <v>2.083</v>
      </c>
      <c r="E41" t="n">
        <v>1</v>
      </c>
      <c r="F41" t="n">
        <v>1.911</v>
      </c>
      <c r="G41" t="n">
        <v>0</v>
      </c>
      <c r="H41" t="n">
        <v>-15</v>
      </c>
      <c r="I41" t="n">
        <v>14.01</v>
      </c>
      <c r="J41" t="n">
        <v>14.53</v>
      </c>
    </row>
    <row r="42">
      <c r="A42" t="inlineStr">
        <is>
          <t>MT</t>
        </is>
      </c>
      <c r="B42" t="n">
        <v>1.773</v>
      </c>
      <c r="C42" t="n">
        <v>0.468</v>
      </c>
      <c r="D42" t="n">
        <v>2.092</v>
      </c>
      <c r="E42" t="n">
        <v>0.998</v>
      </c>
      <c r="F42" t="n">
        <v>1.775</v>
      </c>
      <c r="G42" t="n">
        <v>0</v>
      </c>
      <c r="H42" t="n">
        <v>-15</v>
      </c>
      <c r="I42" t="n">
        <v>13.9</v>
      </c>
      <c r="J42" t="n">
        <v>7.82</v>
      </c>
    </row>
    <row r="43">
      <c r="A43" t="inlineStr">
        <is>
          <t>NE</t>
        </is>
      </c>
      <c r="B43" t="n">
        <v>1.703</v>
      </c>
      <c r="C43" t="n">
        <v>0.382</v>
      </c>
      <c r="D43" t="n">
        <v>2.079</v>
      </c>
      <c r="E43" t="n">
        <v>0.996</v>
      </c>
      <c r="F43" t="n">
        <v>1.708</v>
      </c>
      <c r="G43" t="n">
        <v>0</v>
      </c>
      <c r="H43" t="n">
        <v>-15</v>
      </c>
      <c r="I43" t="n">
        <v>13.28</v>
      </c>
      <c r="J43" t="n">
        <v>11.13</v>
      </c>
    </row>
    <row r="44">
      <c r="A44" t="inlineStr">
        <is>
          <t>NV</t>
        </is>
      </c>
      <c r="B44" t="n">
        <v>2.246</v>
      </c>
      <c r="C44" t="n">
        <v>0.976</v>
      </c>
      <c r="D44" t="n">
        <v>2.263</v>
      </c>
      <c r="E44" t="n">
        <v>1</v>
      </c>
      <c r="F44" t="n">
        <v>2.246</v>
      </c>
      <c r="G44" t="n">
        <v>0</v>
      </c>
      <c r="H44" t="n">
        <v>-15</v>
      </c>
      <c r="I44" t="n">
        <v>14.29</v>
      </c>
      <c r="J44" t="n">
        <v>9.27</v>
      </c>
    </row>
    <row r="45">
      <c r="A45" t="inlineStr">
        <is>
          <t>NH</t>
        </is>
      </c>
      <c r="B45" t="n">
        <v>1.711</v>
      </c>
      <c r="C45" t="n">
        <v>0.393</v>
      </c>
      <c r="D45" t="n">
        <v>2.089</v>
      </c>
      <c r="E45" t="n">
        <v>0.393</v>
      </c>
      <c r="F45" t="n">
        <v>2.089</v>
      </c>
      <c r="G45" t="n">
        <v>0</v>
      </c>
      <c r="H45" t="n">
        <v>0</v>
      </c>
      <c r="I45" t="n">
        <v>27.24</v>
      </c>
      <c r="J45" t="n">
        <v>19.63</v>
      </c>
    </row>
    <row r="46">
      <c r="A46" t="inlineStr">
        <is>
          <t>NJ</t>
        </is>
      </c>
      <c r="B46" t="n">
        <v>1.914</v>
      </c>
      <c r="C46" t="n">
        <v>0.677</v>
      </c>
      <c r="D46" t="n">
        <v>2.086</v>
      </c>
      <c r="E46" t="n">
        <v>0.677</v>
      </c>
      <c r="F46" t="n">
        <v>2.086</v>
      </c>
      <c r="G46" t="n">
        <v>0</v>
      </c>
      <c r="H46" t="n">
        <v>0</v>
      </c>
      <c r="I46" t="n">
        <v>23.53</v>
      </c>
      <c r="J46" t="n">
        <v>13.11</v>
      </c>
    </row>
    <row r="47">
      <c r="A47" t="inlineStr">
        <is>
          <t>NM</t>
        </is>
      </c>
      <c r="B47" t="n">
        <v>1.996</v>
      </c>
      <c r="C47" t="n">
        <v>0.791</v>
      </c>
      <c r="D47" t="n">
        <v>2.11</v>
      </c>
      <c r="E47" t="n">
        <v>1</v>
      </c>
      <c r="F47" t="n">
        <v>1.996</v>
      </c>
      <c r="G47" t="n">
        <v>0</v>
      </c>
      <c r="H47" t="n">
        <v>-13.9</v>
      </c>
      <c r="I47" t="n">
        <v>15.15</v>
      </c>
      <c r="J47" t="n">
        <v>10.98</v>
      </c>
    </row>
    <row r="48">
      <c r="A48" t="inlineStr">
        <is>
          <t>NC</t>
        </is>
      </c>
      <c r="B48" t="n">
        <v>2.121</v>
      </c>
      <c r="C48" t="n">
        <v>0.917</v>
      </c>
      <c r="D48" t="n">
        <v>2.173</v>
      </c>
      <c r="E48" t="n">
        <v>1</v>
      </c>
      <c r="F48" t="n">
        <v>2.121</v>
      </c>
      <c r="G48" t="n">
        <v>0</v>
      </c>
      <c r="H48" t="n">
        <v>-10.6</v>
      </c>
      <c r="I48" t="n">
        <v>16.25</v>
      </c>
      <c r="J48" t="n">
        <v>14.77</v>
      </c>
    </row>
    <row r="49">
      <c r="A49" t="inlineStr">
        <is>
          <t>ND</t>
        </is>
      </c>
      <c r="B49" t="n">
        <v>1.45</v>
      </c>
      <c r="C49" t="n">
        <v>0.215</v>
      </c>
      <c r="D49" t="n">
        <v>2.117</v>
      </c>
      <c r="E49" t="n">
        <v>0.868</v>
      </c>
      <c r="F49" t="n">
        <v>1.546</v>
      </c>
      <c r="G49" t="n">
        <v>0</v>
      </c>
      <c r="H49" t="n">
        <v>-15</v>
      </c>
      <c r="I49" t="n">
        <v>12.35</v>
      </c>
      <c r="J49" t="n">
        <v>7.63</v>
      </c>
    </row>
    <row r="50">
      <c r="A50" t="inlineStr">
        <is>
          <t>OH</t>
        </is>
      </c>
      <c r="B50" t="n">
        <v>1.817</v>
      </c>
      <c r="C50" t="n">
        <v>0.531</v>
      </c>
      <c r="D50" t="n">
        <v>2.077</v>
      </c>
      <c r="E50" t="n">
        <v>0.767</v>
      </c>
      <c r="F50" t="n">
        <v>1.943</v>
      </c>
      <c r="G50" t="n">
        <v>0</v>
      </c>
      <c r="H50" t="n">
        <v>-3.4</v>
      </c>
      <c r="I50" t="n">
        <v>19.49</v>
      </c>
      <c r="J50" t="n">
        <v>12.69</v>
      </c>
    </row>
    <row r="51">
      <c r="A51" t="inlineStr">
        <is>
          <t>OK</t>
        </is>
      </c>
      <c r="B51" t="n">
        <v>2.033</v>
      </c>
      <c r="C51" t="n">
        <v>0.838</v>
      </c>
      <c r="D51" t="n">
        <v>2.123</v>
      </c>
      <c r="E51" t="n">
        <v>1</v>
      </c>
      <c r="F51" t="n">
        <v>2.033</v>
      </c>
      <c r="G51" t="n">
        <v>0</v>
      </c>
      <c r="H51" t="n">
        <v>-15</v>
      </c>
      <c r="I51" t="n">
        <v>13.31</v>
      </c>
      <c r="J51" t="n">
        <v>14.72</v>
      </c>
    </row>
    <row r="52">
      <c r="A52" t="inlineStr">
        <is>
          <t>OR</t>
        </is>
      </c>
      <c r="B52" t="n">
        <v>2.116</v>
      </c>
      <c r="C52" t="n">
        <v>0.907</v>
      </c>
      <c r="D52" t="n">
        <v>2.175</v>
      </c>
      <c r="E52" t="n">
        <v>1</v>
      </c>
      <c r="F52" t="n">
        <v>2.116</v>
      </c>
      <c r="G52" t="n">
        <v>0</v>
      </c>
      <c r="H52" t="n">
        <v>-11.9</v>
      </c>
      <c r="I52" t="n">
        <v>15.78</v>
      </c>
      <c r="J52" t="n">
        <v>16.59</v>
      </c>
    </row>
    <row r="53">
      <c r="A53" t="inlineStr">
        <is>
          <t>PA</t>
        </is>
      </c>
      <c r="B53" t="n">
        <v>1.956</v>
      </c>
      <c r="C53" t="n">
        <v>0.738</v>
      </c>
      <c r="D53" t="n">
        <v>2.098</v>
      </c>
      <c r="E53" t="n">
        <v>0.738</v>
      </c>
      <c r="F53" t="n">
        <v>2.098</v>
      </c>
      <c r="G53" t="n">
        <v>0</v>
      </c>
      <c r="H53" t="n">
        <v>0</v>
      </c>
      <c r="I53" t="n">
        <v>21.47</v>
      </c>
      <c r="J53" t="n">
        <v>15.39</v>
      </c>
    </row>
    <row r="54">
      <c r="A54" t="inlineStr">
        <is>
          <t>RI</t>
        </is>
      </c>
      <c r="B54" t="n">
        <v>1.842</v>
      </c>
      <c r="C54" t="n">
        <v>0.5659999999999999</v>
      </c>
      <c r="D54" t="n">
        <v>2.084</v>
      </c>
      <c r="E54" t="n">
        <v>0.5659999999999999</v>
      </c>
      <c r="F54" t="n">
        <v>2.084</v>
      </c>
      <c r="G54" t="n">
        <v>0</v>
      </c>
      <c r="H54" t="n">
        <v>0</v>
      </c>
      <c r="I54" t="n">
        <v>28.3</v>
      </c>
      <c r="J54" t="n">
        <v>14.31</v>
      </c>
    </row>
    <row r="55">
      <c r="A55" t="inlineStr">
        <is>
          <t>SC</t>
        </is>
      </c>
      <c r="B55" t="n">
        <v>2.291</v>
      </c>
      <c r="C55" t="n">
        <v>0.986</v>
      </c>
      <c r="D55" t="n">
        <v>2.302</v>
      </c>
      <c r="E55" t="n">
        <v>1</v>
      </c>
      <c r="F55" t="n">
        <v>2.291</v>
      </c>
      <c r="G55" t="n">
        <v>0</v>
      </c>
      <c r="H55" t="n">
        <v>-8.6</v>
      </c>
      <c r="I55" t="n">
        <v>17.06</v>
      </c>
      <c r="J55" t="n">
        <v>16.61</v>
      </c>
    </row>
    <row r="56">
      <c r="A56" t="inlineStr">
        <is>
          <t>SD</t>
        </is>
      </c>
      <c r="B56" t="n">
        <v>1.585</v>
      </c>
      <c r="C56" t="n">
        <v>0.28</v>
      </c>
      <c r="D56" t="n">
        <v>2.1</v>
      </c>
      <c r="E56" t="n">
        <v>0.97</v>
      </c>
      <c r="F56" t="n">
        <v>1.611</v>
      </c>
      <c r="G56" t="n">
        <v>0</v>
      </c>
      <c r="H56" t="n">
        <v>-15</v>
      </c>
      <c r="I56" t="n">
        <v>14.52</v>
      </c>
      <c r="J56" t="n">
        <v>10.36</v>
      </c>
    </row>
    <row r="57">
      <c r="A57" t="inlineStr">
        <is>
          <t>TN</t>
        </is>
      </c>
      <c r="B57" t="n">
        <v>2.056</v>
      </c>
      <c r="C57" t="n">
        <v>0.862</v>
      </c>
      <c r="D57" t="n">
        <v>2.135</v>
      </c>
      <c r="E57" t="n">
        <v>1</v>
      </c>
      <c r="F57" t="n">
        <v>2.056</v>
      </c>
      <c r="G57" t="n">
        <v>0</v>
      </c>
      <c r="H57" t="n">
        <v>-14.7</v>
      </c>
      <c r="I57" t="n">
        <v>14.94</v>
      </c>
      <c r="J57" t="n">
        <v>14.34</v>
      </c>
    </row>
    <row r="58">
      <c r="A58" t="inlineStr">
        <is>
          <t>TX</t>
        </is>
      </c>
      <c r="B58" t="n">
        <v>2.247</v>
      </c>
      <c r="C58" t="n">
        <v>0.977</v>
      </c>
      <c r="D58" t="n">
        <v>2.264</v>
      </c>
      <c r="E58" t="n">
        <v>1</v>
      </c>
      <c r="F58" t="n">
        <v>2.247</v>
      </c>
      <c r="G58" t="n">
        <v>0</v>
      </c>
      <c r="H58" t="n">
        <v>-8.699999999999999</v>
      </c>
      <c r="I58" t="n">
        <v>16.99</v>
      </c>
      <c r="J58" t="n">
        <v>22.71</v>
      </c>
    </row>
    <row r="59">
      <c r="A59" t="inlineStr">
        <is>
          <t>UT</t>
        </is>
      </c>
      <c r="B59" t="n">
        <v>1.837</v>
      </c>
      <c r="C59" t="n">
        <v>0.5610000000000001</v>
      </c>
      <c r="D59" t="n">
        <v>2.079</v>
      </c>
      <c r="E59" t="n">
        <v>1</v>
      </c>
      <c r="F59" t="n">
        <v>1.838</v>
      </c>
      <c r="G59" t="n">
        <v>0</v>
      </c>
      <c r="H59" t="n">
        <v>-15</v>
      </c>
      <c r="I59" t="n">
        <v>13.29</v>
      </c>
      <c r="J59" t="n">
        <v>10.45</v>
      </c>
    </row>
    <row r="60">
      <c r="A60" t="inlineStr">
        <is>
          <t>VT</t>
        </is>
      </c>
      <c r="B60" t="n">
        <v>1.625</v>
      </c>
      <c r="C60" t="n">
        <v>0.312</v>
      </c>
      <c r="D60" t="n">
        <v>2.102</v>
      </c>
      <c r="E60" t="n">
        <v>0.312</v>
      </c>
      <c r="F60" t="n">
        <v>2.102</v>
      </c>
      <c r="G60" t="n">
        <v>0</v>
      </c>
      <c r="H60" t="n">
        <v>0</v>
      </c>
      <c r="I60" t="n">
        <v>24.56</v>
      </c>
      <c r="J60" t="n">
        <v>15.44</v>
      </c>
    </row>
    <row r="61">
      <c r="A61" t="inlineStr">
        <is>
          <t>VA</t>
        </is>
      </c>
      <c r="B61" t="n">
        <v>2.036</v>
      </c>
      <c r="C61" t="n">
        <v>0.84</v>
      </c>
      <c r="D61" t="n">
        <v>2.126</v>
      </c>
      <c r="E61" t="n">
        <v>0.998</v>
      </c>
      <c r="F61" t="n">
        <v>2.038</v>
      </c>
      <c r="G61" t="n">
        <v>0</v>
      </c>
      <c r="H61" t="n">
        <v>-7.8</v>
      </c>
      <c r="I61" t="n">
        <v>17.38</v>
      </c>
      <c r="J61" t="n">
        <v>17.31</v>
      </c>
    </row>
    <row r="62">
      <c r="A62" t="inlineStr">
        <is>
          <t>WV</t>
        </is>
      </c>
      <c r="B62" t="n">
        <v>1.935</v>
      </c>
      <c r="C62" t="n">
        <v>0.708</v>
      </c>
      <c r="D62" t="n">
        <v>2.092</v>
      </c>
      <c r="E62" t="n">
        <v>0.999</v>
      </c>
      <c r="F62" t="n">
        <v>1.936</v>
      </c>
      <c r="G62" t="n">
        <v>0</v>
      </c>
      <c r="H62" t="n">
        <v>-11.1</v>
      </c>
      <c r="I62" t="n">
        <v>16.06</v>
      </c>
      <c r="J62" t="n">
        <v>12.92</v>
      </c>
    </row>
    <row r="63">
      <c r="A63" t="inlineStr">
        <is>
          <t>WI</t>
        </is>
      </c>
      <c r="B63" t="n">
        <v>1.692</v>
      </c>
      <c r="C63" t="n">
        <v>0.372</v>
      </c>
      <c r="D63" t="n">
        <v>2.09</v>
      </c>
      <c r="E63" t="n">
        <v>0.606</v>
      </c>
      <c r="F63" t="n">
        <v>1.909</v>
      </c>
      <c r="G63" t="n">
        <v>0</v>
      </c>
      <c r="H63" t="n">
        <v>-4</v>
      </c>
      <c r="I63" t="n">
        <v>19.21</v>
      </c>
      <c r="J63" t="n">
        <v>8.75</v>
      </c>
    </row>
    <row r="64">
      <c r="A64" t="inlineStr">
        <is>
          <t>WY</t>
        </is>
      </c>
      <c r="B64" t="n">
        <v>1.8</v>
      </c>
      <c r="C64" t="n">
        <v>0.503</v>
      </c>
      <c r="D64" t="n">
        <v>2.097</v>
      </c>
      <c r="E64" t="n">
        <v>0.999</v>
      </c>
      <c r="F64" t="n">
        <v>1.801</v>
      </c>
      <c r="G64" t="n">
        <v>0</v>
      </c>
      <c r="H64" t="n">
        <v>-15</v>
      </c>
      <c r="I64" t="n">
        <v>14.68</v>
      </c>
      <c r="J64" t="n">
        <v>10.01</v>
      </c>
    </row>
    <row r="65">
      <c r="A65" t="inlineStr">
        <is>
          <t>DC</t>
        </is>
      </c>
      <c r="B65" t="n">
        <v>1.994</v>
      </c>
      <c r="C65" t="n">
        <v>0.79</v>
      </c>
      <c r="D65" t="n">
        <v>2.108</v>
      </c>
      <c r="E65" t="n">
        <v>1</v>
      </c>
      <c r="F65" t="n">
        <v>1.994</v>
      </c>
      <c r="G65" t="n">
        <v>0</v>
      </c>
      <c r="H65" t="n">
        <v>-12.8</v>
      </c>
      <c r="I65" t="n">
        <v>15.5</v>
      </c>
      <c r="J65" t="n">
        <v>15.69</v>
      </c>
    </row>
    <row r="66">
      <c r="A66" t="inlineStr">
        <is>
          <t>PR</t>
        </is>
      </c>
      <c r="B66" t="n">
        <v>2.751</v>
      </c>
      <c r="C66" t="n">
        <v>1</v>
      </c>
      <c r="D66" t="n">
        <v>2.751</v>
      </c>
      <c r="E66" t="n">
        <v>1</v>
      </c>
      <c r="F66" t="n">
        <v>2.751</v>
      </c>
      <c r="G66" t="n">
        <v>-4.4</v>
      </c>
      <c r="H66" t="n">
        <v>0</v>
      </c>
      <c r="I66" t="n">
        <v>25</v>
      </c>
      <c r="J66" t="n">
        <v>40</v>
      </c>
    </row>
    <row r="67">
      <c r="A67" t="inlineStr">
        <is>
          <t>VI</t>
        </is>
      </c>
      <c r="B67" t="n">
        <v>2.751</v>
      </c>
      <c r="C67" t="n">
        <v>1</v>
      </c>
      <c r="D67" t="n">
        <v>2.751</v>
      </c>
      <c r="E67" t="n">
        <v>1</v>
      </c>
      <c r="F67" t="n">
        <v>2.751</v>
      </c>
      <c r="G67" t="n">
        <v>0</v>
      </c>
      <c r="H67" t="n">
        <v>0</v>
      </c>
      <c r="I67" t="n">
        <v>45</v>
      </c>
      <c r="J67" t="n">
        <v>40</v>
      </c>
    </row>
    <row r="68">
      <c r="A68" t="inlineStr">
        <is>
          <t>hp_seasonal_COP_electric = jurisdiction-specific seasonal COP for heat pumps with electric/resistance/no fossil backup, from a field-data COP(T) curve (Gibb et al. 2023, Joule) scaled so the national load-weighted seasonal COP reproduces 1.90 (CA)/2.00 (US); standard-stock compressor lockout at -15C (resistance below). fhp_* = fraction of annual heating load carried by the heat pump before switchover to the named backup fuel; cop_op_* = load-weighted operating COP above switchover. Switchover = cost-minimising temperature from local electricity vs fuel prices, capped at max 0C (HP-priority above freezing) and floored at the -15C lockout. See methodology document.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jurisdiction</t>
        </is>
      </c>
      <c r="B1" s="19" t="inlineStr">
        <is>
          <t>country</t>
        </is>
      </c>
      <c r="C1" s="19" t="inlineStr">
        <is>
          <t>w_gas</t>
        </is>
      </c>
      <c r="D1" s="19" t="inlineStr">
        <is>
          <t>w_oilprop</t>
        </is>
      </c>
      <c r="E1" s="19" t="inlineStr">
        <is>
          <t>w_baseboard</t>
        </is>
      </c>
      <c r="F1" s="19" t="inlineStr">
        <is>
          <t>w_heatpump</t>
        </is>
      </c>
      <c r="G1" s="19" t="inlineStr">
        <is>
          <t>w_wood</t>
        </is>
      </c>
      <c r="H1" s="19" t="inlineStr">
        <is>
          <t>grid_kg_GJ_lifecycle</t>
        </is>
      </c>
      <c r="I1" s="19" t="inlineStr">
        <is>
          <t>gas_eff</t>
        </is>
      </c>
      <c r="J1" s="19" t="inlineStr">
        <is>
          <t>hp_cop</t>
        </is>
      </c>
      <c r="K1" s="19" t="inlineStr">
        <is>
          <t>DK_EFperEff</t>
        </is>
      </c>
      <c r="L1" s="19" t="inlineStr">
        <is>
          <t>DK_energy_per_demand</t>
        </is>
      </c>
    </row>
    <row r="2">
      <c r="A2" t="inlineStr">
        <is>
          <t>QC</t>
        </is>
      </c>
      <c r="B2" t="inlineStr">
        <is>
          <t>CA</t>
        </is>
      </c>
      <c r="C2" t="n">
        <v>0.443</v>
      </c>
      <c r="D2" t="n">
        <v>0.059</v>
      </c>
      <c r="E2" t="n">
        <v>0.374</v>
      </c>
      <c r="F2" t="n">
        <v>0.079</v>
      </c>
      <c r="G2" t="n">
        <v>0.045</v>
      </c>
      <c r="H2">
        <f>INDEX(P_EF_Elec!$F:$F,MATCH(A2,P_EF_Elec!$A:$A,0))</f>
        <v/>
      </c>
      <c r="I2">
        <f>INDEX(P_GasEff!$B:$B,MATCH(A2,P_GasEff!$A:$A,0))</f>
        <v/>
      </c>
      <c r="J2">
        <f>INDEX(P_HPcop!$B:$B,MATCH(A2,P_HPcop!$A:$A,0))</f>
        <v/>
      </c>
      <c r="K2">
        <f>C2*(63.28/I2)+D2*(79.8/0.84)+E2*H2+F2*(H2/J2)+G2*(1.1/0.65)</f>
        <v/>
      </c>
      <c r="L2">
        <f>C2/I2+D2/0.84+E2+F2/J2+G2/0.65</f>
        <v/>
      </c>
    </row>
    <row r="3">
      <c r="A3" t="inlineStr">
        <is>
          <t>ON</t>
        </is>
      </c>
      <c r="B3" t="inlineStr">
        <is>
          <t>CA</t>
        </is>
      </c>
      <c r="C3" t="n">
        <v>0.443</v>
      </c>
      <c r="D3" t="n">
        <v>0.059</v>
      </c>
      <c r="E3" t="n">
        <v>0.374</v>
      </c>
      <c r="F3" t="n">
        <v>0.079</v>
      </c>
      <c r="G3" t="n">
        <v>0.045</v>
      </c>
      <c r="H3">
        <f>INDEX(P_EF_Elec!$F:$F,MATCH(A3,P_EF_Elec!$A:$A,0))</f>
        <v/>
      </c>
      <c r="I3">
        <f>INDEX(P_GasEff!$B:$B,MATCH(A3,P_GasEff!$A:$A,0))</f>
        <v/>
      </c>
      <c r="J3">
        <f>INDEX(P_HPcop!$B:$B,MATCH(A3,P_HPcop!$A:$A,0))</f>
        <v/>
      </c>
      <c r="K3">
        <f>C3*(63.28/I3)+D3*(79.8/0.84)+E3*H3+F3*(H3/J3)+G3*(1.1/0.65)</f>
        <v/>
      </c>
      <c r="L3">
        <f>C3/I3+D3/0.84+E3+F3/J3+G3/0.65</f>
        <v/>
      </c>
    </row>
    <row r="4">
      <c r="A4" t="inlineStr">
        <is>
          <t>AB</t>
        </is>
      </c>
      <c r="B4" t="inlineStr">
        <is>
          <t>CA</t>
        </is>
      </c>
      <c r="C4" t="n">
        <v>0.443</v>
      </c>
      <c r="D4" t="n">
        <v>0.059</v>
      </c>
      <c r="E4" t="n">
        <v>0.374</v>
      </c>
      <c r="F4" t="n">
        <v>0.079</v>
      </c>
      <c r="G4" t="n">
        <v>0.045</v>
      </c>
      <c r="H4">
        <f>INDEX(P_EF_Elec!$F:$F,MATCH(A4,P_EF_Elec!$A:$A,0))</f>
        <v/>
      </c>
      <c r="I4">
        <f>INDEX(P_GasEff!$B:$B,MATCH(A4,P_GasEff!$A:$A,0))</f>
        <v/>
      </c>
      <c r="J4">
        <f>INDEX(P_HPcop!$B:$B,MATCH(A4,P_HPcop!$A:$A,0))</f>
        <v/>
      </c>
      <c r="K4">
        <f>C4*(63.28/I4)+D4*(79.8/0.84)+E4*H4+F4*(H4/J4)+G4*(1.1/0.65)</f>
        <v/>
      </c>
      <c r="L4">
        <f>C4/I4+D4/0.84+E4+F4/J4+G4/0.65</f>
        <v/>
      </c>
    </row>
    <row r="5">
      <c r="A5" t="inlineStr">
        <is>
          <t>BC</t>
        </is>
      </c>
      <c r="B5" t="inlineStr">
        <is>
          <t>CA</t>
        </is>
      </c>
      <c r="C5" t="n">
        <v>0.443</v>
      </c>
      <c r="D5" t="n">
        <v>0.059</v>
      </c>
      <c r="E5" t="n">
        <v>0.374</v>
      </c>
      <c r="F5" t="n">
        <v>0.079</v>
      </c>
      <c r="G5" t="n">
        <v>0.045</v>
      </c>
      <c r="H5">
        <f>INDEX(P_EF_Elec!$F:$F,MATCH(A5,P_EF_Elec!$A:$A,0))</f>
        <v/>
      </c>
      <c r="I5">
        <f>INDEX(P_GasEff!$B:$B,MATCH(A5,P_GasEff!$A:$A,0))</f>
        <v/>
      </c>
      <c r="J5">
        <f>INDEX(P_HPcop!$B:$B,MATCH(A5,P_HPcop!$A:$A,0))</f>
        <v/>
      </c>
      <c r="K5">
        <f>C5*(63.28/I5)+D5*(79.8/0.84)+E5*H5+F5*(H5/J5)+G5*(1.1/0.65)</f>
        <v/>
      </c>
      <c r="L5">
        <f>C5/I5+D5/0.84+E5+F5/J5+G5/0.65</f>
        <v/>
      </c>
    </row>
    <row r="6">
      <c r="A6" t="inlineStr">
        <is>
          <t>MB</t>
        </is>
      </c>
      <c r="B6" t="inlineStr">
        <is>
          <t>CA</t>
        </is>
      </c>
      <c r="C6" t="n">
        <v>0.443</v>
      </c>
      <c r="D6" t="n">
        <v>0.059</v>
      </c>
      <c r="E6" t="n">
        <v>0.374</v>
      </c>
      <c r="F6" t="n">
        <v>0.079</v>
      </c>
      <c r="G6" t="n">
        <v>0.045</v>
      </c>
      <c r="H6">
        <f>INDEX(P_EF_Elec!$F:$F,MATCH(A6,P_EF_Elec!$A:$A,0))</f>
        <v/>
      </c>
      <c r="I6">
        <f>INDEX(P_GasEff!$B:$B,MATCH(A6,P_GasEff!$A:$A,0))</f>
        <v/>
      </c>
      <c r="J6">
        <f>INDEX(P_HPcop!$B:$B,MATCH(A6,P_HPcop!$A:$A,0))</f>
        <v/>
      </c>
      <c r="K6">
        <f>C6*(63.28/I6)+D6*(79.8/0.84)+E6*H6+F6*(H6/J6)+G6*(1.1/0.65)</f>
        <v/>
      </c>
      <c r="L6">
        <f>C6/I6+D6/0.84+E6+F6/J6+G6/0.65</f>
        <v/>
      </c>
    </row>
    <row r="7">
      <c r="A7" t="inlineStr">
        <is>
          <t>SK</t>
        </is>
      </c>
      <c r="B7" t="inlineStr">
        <is>
          <t>CA</t>
        </is>
      </c>
      <c r="C7" t="n">
        <v>0.443</v>
      </c>
      <c r="D7" t="n">
        <v>0.059</v>
      </c>
      <c r="E7" t="n">
        <v>0.374</v>
      </c>
      <c r="F7" t="n">
        <v>0.079</v>
      </c>
      <c r="G7" t="n">
        <v>0.045</v>
      </c>
      <c r="H7">
        <f>INDEX(P_EF_Elec!$F:$F,MATCH(A7,P_EF_Elec!$A:$A,0))</f>
        <v/>
      </c>
      <c r="I7">
        <f>INDEX(P_GasEff!$B:$B,MATCH(A7,P_GasEff!$A:$A,0))</f>
        <v/>
      </c>
      <c r="J7">
        <f>INDEX(P_HPcop!$B:$B,MATCH(A7,P_HPcop!$A:$A,0))</f>
        <v/>
      </c>
      <c r="K7">
        <f>C7*(63.28/I7)+D7*(79.8/0.84)+E7*H7+F7*(H7/J7)+G7*(1.1/0.65)</f>
        <v/>
      </c>
      <c r="L7">
        <f>C7/I7+D7/0.84+E7+F7/J7+G7/0.65</f>
        <v/>
      </c>
    </row>
    <row r="8">
      <c r="A8" t="inlineStr">
        <is>
          <t>NS</t>
        </is>
      </c>
      <c r="B8" t="inlineStr">
        <is>
          <t>CA</t>
        </is>
      </c>
      <c r="C8" t="n">
        <v>0.443</v>
      </c>
      <c r="D8" t="n">
        <v>0.059</v>
      </c>
      <c r="E8" t="n">
        <v>0.374</v>
      </c>
      <c r="F8" t="n">
        <v>0.079</v>
      </c>
      <c r="G8" t="n">
        <v>0.045</v>
      </c>
      <c r="H8">
        <f>INDEX(P_EF_Elec!$F:$F,MATCH(A8,P_EF_Elec!$A:$A,0))</f>
        <v/>
      </c>
      <c r="I8">
        <f>INDEX(P_GasEff!$B:$B,MATCH(A8,P_GasEff!$A:$A,0))</f>
        <v/>
      </c>
      <c r="J8">
        <f>INDEX(P_HPcop!$B:$B,MATCH(A8,P_HPcop!$A:$A,0))</f>
        <v/>
      </c>
      <c r="K8">
        <f>C8*(63.28/I8)+D8*(79.8/0.84)+E8*H8+F8*(H8/J8)+G8*(1.1/0.65)</f>
        <v/>
      </c>
      <c r="L8">
        <f>C8/I8+D8/0.84+E8+F8/J8+G8/0.65</f>
        <v/>
      </c>
    </row>
    <row r="9">
      <c r="A9" t="inlineStr">
        <is>
          <t>NB</t>
        </is>
      </c>
      <c r="B9" t="inlineStr">
        <is>
          <t>CA</t>
        </is>
      </c>
      <c r="C9" t="n">
        <v>0.443</v>
      </c>
      <c r="D9" t="n">
        <v>0.059</v>
      </c>
      <c r="E9" t="n">
        <v>0.374</v>
      </c>
      <c r="F9" t="n">
        <v>0.079</v>
      </c>
      <c r="G9" t="n">
        <v>0.045</v>
      </c>
      <c r="H9">
        <f>INDEX(P_EF_Elec!$F:$F,MATCH(A9,P_EF_Elec!$A:$A,0))</f>
        <v/>
      </c>
      <c r="I9">
        <f>INDEX(P_GasEff!$B:$B,MATCH(A9,P_GasEff!$A:$A,0))</f>
        <v/>
      </c>
      <c r="J9">
        <f>INDEX(P_HPcop!$B:$B,MATCH(A9,P_HPcop!$A:$A,0))</f>
        <v/>
      </c>
      <c r="K9">
        <f>C9*(63.28/I9)+D9*(79.8/0.84)+E9*H9+F9*(H9/J9)+G9*(1.1/0.65)</f>
        <v/>
      </c>
      <c r="L9">
        <f>C9/I9+D9/0.84+E9+F9/J9+G9/0.65</f>
        <v/>
      </c>
    </row>
    <row r="10">
      <c r="A10" t="inlineStr">
        <is>
          <t>NL</t>
        </is>
      </c>
      <c r="B10" t="inlineStr">
        <is>
          <t>CA</t>
        </is>
      </c>
      <c r="C10" t="n">
        <v>0.443</v>
      </c>
      <c r="D10" t="n">
        <v>0.059</v>
      </c>
      <c r="E10" t="n">
        <v>0.374</v>
      </c>
      <c r="F10" t="n">
        <v>0.079</v>
      </c>
      <c r="G10" t="n">
        <v>0.045</v>
      </c>
      <c r="H10">
        <f>INDEX(P_EF_Elec!$F:$F,MATCH(A10,P_EF_Elec!$A:$A,0))</f>
        <v/>
      </c>
      <c r="I10">
        <f>INDEX(P_GasEff!$B:$B,MATCH(A10,P_GasEff!$A:$A,0))</f>
        <v/>
      </c>
      <c r="J10">
        <f>INDEX(P_HPcop!$B:$B,MATCH(A10,P_HPcop!$A:$A,0))</f>
        <v/>
      </c>
      <c r="K10">
        <f>C10*(63.28/I10)+D10*(79.8/0.84)+E10*H10+F10*(H10/J10)+G10*(1.1/0.65)</f>
        <v/>
      </c>
      <c r="L10">
        <f>C10/I10+D10/0.84+E10+F10/J10+G10/0.65</f>
        <v/>
      </c>
    </row>
    <row r="11">
      <c r="A11" t="inlineStr">
        <is>
          <t>PE</t>
        </is>
      </c>
      <c r="B11" t="inlineStr">
        <is>
          <t>CA</t>
        </is>
      </c>
      <c r="C11" t="n">
        <v>0.443</v>
      </c>
      <c r="D11" t="n">
        <v>0.059</v>
      </c>
      <c r="E11" t="n">
        <v>0.374</v>
      </c>
      <c r="F11" t="n">
        <v>0.079</v>
      </c>
      <c r="G11" t="n">
        <v>0.045</v>
      </c>
      <c r="H11">
        <f>INDEX(P_EF_Elec!$F:$F,MATCH(A11,P_EF_Elec!$A:$A,0))</f>
        <v/>
      </c>
      <c r="I11">
        <f>INDEX(P_GasEff!$B:$B,MATCH(A11,P_GasEff!$A:$A,0))</f>
        <v/>
      </c>
      <c r="J11">
        <f>INDEX(P_HPcop!$B:$B,MATCH(A11,P_HPcop!$A:$A,0))</f>
        <v/>
      </c>
      <c r="K11">
        <f>C11*(63.28/I11)+D11*(79.8/0.84)+E11*H11+F11*(H11/J11)+G11*(1.1/0.65)</f>
        <v/>
      </c>
      <c r="L11">
        <f>C11/I11+D11/0.84+E11+F11/J11+G11/0.65</f>
        <v/>
      </c>
    </row>
    <row r="12">
      <c r="A12" t="inlineStr">
        <is>
          <t>YT</t>
        </is>
      </c>
      <c r="B12" t="inlineStr">
        <is>
          <t>CA</t>
        </is>
      </c>
      <c r="C12" t="n">
        <v>0.443</v>
      </c>
      <c r="D12" t="n">
        <v>0.059</v>
      </c>
      <c r="E12" t="n">
        <v>0.374</v>
      </c>
      <c r="F12" t="n">
        <v>0.079</v>
      </c>
      <c r="G12" t="n">
        <v>0.045</v>
      </c>
      <c r="H12">
        <f>INDEX(P_EF_Elec!$F:$F,MATCH(A12,P_EF_Elec!$A:$A,0))</f>
        <v/>
      </c>
      <c r="I12">
        <f>INDEX(P_GasEff!$B:$B,MATCH(A12,P_GasEff!$A:$A,0))</f>
        <v/>
      </c>
      <c r="J12">
        <f>INDEX(P_HPcop!$B:$B,MATCH(A12,P_HPcop!$A:$A,0))</f>
        <v/>
      </c>
      <c r="K12">
        <f>C12*(63.28/I12)+D12*(79.8/0.84)+E12*H12+F12*(H12/J12)+G12*(1.1/0.65)</f>
        <v/>
      </c>
      <c r="L12">
        <f>C12/I12+D12/0.84+E12+F12/J12+G12/0.65</f>
        <v/>
      </c>
    </row>
    <row r="13">
      <c r="A13" t="inlineStr">
        <is>
          <t>NT</t>
        </is>
      </c>
      <c r="B13" t="inlineStr">
        <is>
          <t>CA</t>
        </is>
      </c>
      <c r="C13" t="n">
        <v>0.443</v>
      </c>
      <c r="D13" t="n">
        <v>0.059</v>
      </c>
      <c r="E13" t="n">
        <v>0.374</v>
      </c>
      <c r="F13" t="n">
        <v>0.079</v>
      </c>
      <c r="G13" t="n">
        <v>0.045</v>
      </c>
      <c r="H13">
        <f>INDEX(P_EF_Elec!$F:$F,MATCH(A13,P_EF_Elec!$A:$A,0))</f>
        <v/>
      </c>
      <c r="I13">
        <f>INDEX(P_GasEff!$B:$B,MATCH(A13,P_GasEff!$A:$A,0))</f>
        <v/>
      </c>
      <c r="J13">
        <f>INDEX(P_HPcop!$B:$B,MATCH(A13,P_HPcop!$A:$A,0))</f>
        <v/>
      </c>
      <c r="K13">
        <f>C13*(63.28/I13)+D13*(79.8/0.84)+E13*H13+F13*(H13/J13)+G13*(1.1/0.65)</f>
        <v/>
      </c>
      <c r="L13">
        <f>C13/I13+D13/0.84+E13+F13/J13+G13/0.65</f>
        <v/>
      </c>
    </row>
    <row r="14">
      <c r="A14" t="inlineStr">
        <is>
          <t>NU</t>
        </is>
      </c>
      <c r="B14" t="inlineStr">
        <is>
          <t>CA</t>
        </is>
      </c>
      <c r="C14" t="n">
        <v>0.443</v>
      </c>
      <c r="D14" t="n">
        <v>0.059</v>
      </c>
      <c r="E14" t="n">
        <v>0.374</v>
      </c>
      <c r="F14" t="n">
        <v>0.079</v>
      </c>
      <c r="G14" t="n">
        <v>0.045</v>
      </c>
      <c r="H14">
        <f>INDEX(P_EF_Elec!$F:$F,MATCH(A14,P_EF_Elec!$A:$A,0))</f>
        <v/>
      </c>
      <c r="I14">
        <f>INDEX(P_GasEff!$B:$B,MATCH(A14,P_GasEff!$A:$A,0))</f>
        <v/>
      </c>
      <c r="J14">
        <f>INDEX(P_HPcop!$B:$B,MATCH(A14,P_HPcop!$A:$A,0))</f>
        <v/>
      </c>
      <c r="K14">
        <f>C14*(63.28/I14)+D14*(79.8/0.84)+E14*H14+F14*(H14/J14)+G14*(1.1/0.65)</f>
        <v/>
      </c>
      <c r="L14">
        <f>C14/I14+D14/0.84+E14+F14/J14+G14/0.65</f>
        <v/>
      </c>
    </row>
    <row r="15">
      <c r="A15" t="inlineStr">
        <is>
          <t>CO</t>
        </is>
      </c>
      <c r="B15" t="inlineStr">
        <is>
          <t>US</t>
        </is>
      </c>
      <c r="C15" t="n">
        <v>0.533</v>
      </c>
      <c r="D15" t="n">
        <v>0.08599999999999999</v>
      </c>
      <c r="E15" t="n">
        <v>0.216</v>
      </c>
      <c r="F15" t="n">
        <v>0.146</v>
      </c>
      <c r="G15" t="n">
        <v>0.019</v>
      </c>
      <c r="H15">
        <f>INDEX(P_EF_Elec!$F:$F,MATCH(A15,P_EF_Elec!$A:$A,0))</f>
        <v/>
      </c>
      <c r="I15">
        <f>INDEX(P_GasEff!$B:$B,MATCH(A15,P_GasEff!$A:$A,0))</f>
        <v/>
      </c>
      <c r="J15">
        <f>INDEX(P_HPcop!$B:$B,MATCH(A15,P_HPcop!$A:$A,0))</f>
        <v/>
      </c>
      <c r="K15">
        <f>C15*(63.28/I15)+D15*(79.8/0.84)+E15*H15+F15*(H15/J15)+G15*(1.1/0.65)</f>
        <v/>
      </c>
      <c r="L15">
        <f>C15/I15+D15/0.84+E15+F15/J15+G15/0.65</f>
        <v/>
      </c>
    </row>
    <row r="16">
      <c r="A16" t="inlineStr">
        <is>
          <t>MI</t>
        </is>
      </c>
      <c r="B16" t="inlineStr">
        <is>
          <t>US</t>
        </is>
      </c>
      <c r="C16" t="n">
        <v>0.533</v>
      </c>
      <c r="D16" t="n">
        <v>0.08599999999999999</v>
      </c>
      <c r="E16" t="n">
        <v>0.216</v>
      </c>
      <c r="F16" t="n">
        <v>0.146</v>
      </c>
      <c r="G16" t="n">
        <v>0.019</v>
      </c>
      <c r="H16">
        <f>INDEX(P_EF_Elec!$F:$F,MATCH(A16,P_EF_Elec!$A:$A,0))</f>
        <v/>
      </c>
      <c r="I16">
        <f>INDEX(P_GasEff!$B:$B,MATCH(A16,P_GasEff!$A:$A,0))</f>
        <v/>
      </c>
      <c r="J16">
        <f>INDEX(P_HPcop!$B:$B,MATCH(A16,P_HPcop!$A:$A,0))</f>
        <v/>
      </c>
      <c r="K16">
        <f>C16*(63.28/I16)+D16*(79.8/0.84)+E16*H16+F16*(H16/J16)+G16*(1.1/0.65)</f>
        <v/>
      </c>
      <c r="L16">
        <f>C16/I16+D16/0.84+E16+F16/J16+G16/0.65</f>
        <v/>
      </c>
    </row>
    <row r="17">
      <c r="A17" t="inlineStr">
        <is>
          <t>NY</t>
        </is>
      </c>
      <c r="B17" t="inlineStr">
        <is>
          <t>US</t>
        </is>
      </c>
      <c r="C17" t="n">
        <v>0.533</v>
      </c>
      <c r="D17" t="n">
        <v>0.08599999999999999</v>
      </c>
      <c r="E17" t="n">
        <v>0.216</v>
      </c>
      <c r="F17" t="n">
        <v>0.146</v>
      </c>
      <c r="G17" t="n">
        <v>0.019</v>
      </c>
      <c r="H17">
        <f>INDEX(P_EF_Elec!$F:$F,MATCH(A17,P_EF_Elec!$A:$A,0))</f>
        <v/>
      </c>
      <c r="I17">
        <f>INDEX(P_GasEff!$B:$B,MATCH(A17,P_GasEff!$A:$A,0))</f>
        <v/>
      </c>
      <c r="J17">
        <f>INDEX(P_HPcop!$B:$B,MATCH(A17,P_HPcop!$A:$A,0))</f>
        <v/>
      </c>
      <c r="K17">
        <f>C17*(63.28/I17)+D17*(79.8/0.84)+E17*H17+F17*(H17/J17)+G17*(1.1/0.65)</f>
        <v/>
      </c>
      <c r="L17">
        <f>C17/I17+D17/0.84+E17+F17/J17+G17/0.65</f>
        <v/>
      </c>
    </row>
    <row r="18">
      <c r="A18" t="inlineStr">
        <is>
          <t>WA</t>
        </is>
      </c>
      <c r="B18" t="inlineStr">
        <is>
          <t>US</t>
        </is>
      </c>
      <c r="C18" t="n">
        <v>0.533</v>
      </c>
      <c r="D18" t="n">
        <v>0.08599999999999999</v>
      </c>
      <c r="E18" t="n">
        <v>0.216</v>
      </c>
      <c r="F18" t="n">
        <v>0.146</v>
      </c>
      <c r="G18" t="n">
        <v>0.019</v>
      </c>
      <c r="H18">
        <f>INDEX(P_EF_Elec!$F:$F,MATCH(A18,P_EF_Elec!$A:$A,0))</f>
        <v/>
      </c>
      <c r="I18">
        <f>INDEX(P_GasEff!$B:$B,MATCH(A18,P_GasEff!$A:$A,0))</f>
        <v/>
      </c>
      <c r="J18">
        <f>INDEX(P_HPcop!$B:$B,MATCH(A18,P_HPcop!$A:$A,0))</f>
        <v/>
      </c>
      <c r="K18">
        <f>C18*(63.28/I18)+D18*(79.8/0.84)+E18*H18+F18*(H18/J18)+G18*(1.1/0.65)</f>
        <v/>
      </c>
      <c r="L18">
        <f>C18/I18+D18/0.84+E18+F18/J18+G18/0.65</f>
        <v/>
      </c>
    </row>
    <row r="19">
      <c r="A19" t="inlineStr">
        <is>
          <t>AL</t>
        </is>
      </c>
      <c r="B19" t="inlineStr">
        <is>
          <t>US</t>
        </is>
      </c>
      <c r="C19" t="n">
        <v>0.533</v>
      </c>
      <c r="D19" t="n">
        <v>0.08599999999999999</v>
      </c>
      <c r="E19" t="n">
        <v>0.216</v>
      </c>
      <c r="F19" t="n">
        <v>0.146</v>
      </c>
      <c r="G19" t="n">
        <v>0.019</v>
      </c>
      <c r="H19">
        <f>INDEX(P_EF_Elec!$F:$F,MATCH(A19,P_EF_Elec!$A:$A,0))</f>
        <v/>
      </c>
      <c r="I19">
        <f>INDEX(P_GasEff!$B:$B,MATCH(A19,P_GasEff!$A:$A,0))</f>
        <v/>
      </c>
      <c r="J19">
        <f>INDEX(P_HPcop!$B:$B,MATCH(A19,P_HPcop!$A:$A,0))</f>
        <v/>
      </c>
      <c r="K19">
        <f>C19*(63.28/I19)+D19*(79.8/0.84)+E19*H19+F19*(H19/J19)+G19*(1.1/0.65)</f>
        <v/>
      </c>
      <c r="L19">
        <f>C19/I19+D19/0.84+E19+F19/J19+G19/0.65</f>
        <v/>
      </c>
    </row>
    <row r="20">
      <c r="A20" t="inlineStr">
        <is>
          <t>AK</t>
        </is>
      </c>
      <c r="B20" t="inlineStr">
        <is>
          <t>US</t>
        </is>
      </c>
      <c r="C20" t="n">
        <v>0.533</v>
      </c>
      <c r="D20" t="n">
        <v>0.08599999999999999</v>
      </c>
      <c r="E20" t="n">
        <v>0.216</v>
      </c>
      <c r="F20" t="n">
        <v>0.146</v>
      </c>
      <c r="G20" t="n">
        <v>0.019</v>
      </c>
      <c r="H20">
        <f>INDEX(P_EF_Elec!$F:$F,MATCH(A20,P_EF_Elec!$A:$A,0))</f>
        <v/>
      </c>
      <c r="I20">
        <f>INDEX(P_GasEff!$B:$B,MATCH(A20,P_GasEff!$A:$A,0))</f>
        <v/>
      </c>
      <c r="J20">
        <f>INDEX(P_HPcop!$B:$B,MATCH(A20,P_HPcop!$A:$A,0))</f>
        <v/>
      </c>
      <c r="K20">
        <f>C20*(63.28/I20)+D20*(79.8/0.84)+E20*H20+F20*(H20/J20)+G20*(1.1/0.65)</f>
        <v/>
      </c>
      <c r="L20">
        <f>C20/I20+D20/0.84+E20+F20/J20+G20/0.65</f>
        <v/>
      </c>
    </row>
    <row r="21">
      <c r="A21" t="inlineStr">
        <is>
          <t>AZ</t>
        </is>
      </c>
      <c r="B21" t="inlineStr">
        <is>
          <t>US</t>
        </is>
      </c>
      <c r="C21" t="n">
        <v>0.533</v>
      </c>
      <c r="D21" t="n">
        <v>0.08599999999999999</v>
      </c>
      <c r="E21" t="n">
        <v>0.216</v>
      </c>
      <c r="F21" t="n">
        <v>0.146</v>
      </c>
      <c r="G21" t="n">
        <v>0.019</v>
      </c>
      <c r="H21">
        <f>INDEX(P_EF_Elec!$F:$F,MATCH(A21,P_EF_Elec!$A:$A,0))</f>
        <v/>
      </c>
      <c r="I21">
        <f>INDEX(P_GasEff!$B:$B,MATCH(A21,P_GasEff!$A:$A,0))</f>
        <v/>
      </c>
      <c r="J21">
        <f>INDEX(P_HPcop!$B:$B,MATCH(A21,P_HPcop!$A:$A,0))</f>
        <v/>
      </c>
      <c r="K21">
        <f>C21*(63.28/I21)+D21*(79.8/0.84)+E21*H21+F21*(H21/J21)+G21*(1.1/0.65)</f>
        <v/>
      </c>
      <c r="L21">
        <f>C21/I21+D21/0.84+E21+F21/J21+G21/0.65</f>
        <v/>
      </c>
    </row>
    <row r="22">
      <c r="A22" t="inlineStr">
        <is>
          <t>AR</t>
        </is>
      </c>
      <c r="B22" t="inlineStr">
        <is>
          <t>US</t>
        </is>
      </c>
      <c r="C22" t="n">
        <v>0.533</v>
      </c>
      <c r="D22" t="n">
        <v>0.08599999999999999</v>
      </c>
      <c r="E22" t="n">
        <v>0.216</v>
      </c>
      <c r="F22" t="n">
        <v>0.146</v>
      </c>
      <c r="G22" t="n">
        <v>0.019</v>
      </c>
      <c r="H22">
        <f>INDEX(P_EF_Elec!$F:$F,MATCH(A22,P_EF_Elec!$A:$A,0))</f>
        <v/>
      </c>
      <c r="I22">
        <f>INDEX(P_GasEff!$B:$B,MATCH(A22,P_GasEff!$A:$A,0))</f>
        <v/>
      </c>
      <c r="J22">
        <f>INDEX(P_HPcop!$B:$B,MATCH(A22,P_HPcop!$A:$A,0))</f>
        <v/>
      </c>
      <c r="K22">
        <f>C22*(63.28/I22)+D22*(79.8/0.84)+E22*H22+F22*(H22/J22)+G22*(1.1/0.65)</f>
        <v/>
      </c>
      <c r="L22">
        <f>C22/I22+D22/0.84+E22+F22/J22+G22/0.65</f>
        <v/>
      </c>
    </row>
    <row r="23">
      <c r="A23" t="inlineStr">
        <is>
          <t>CA</t>
        </is>
      </c>
      <c r="B23" t="inlineStr">
        <is>
          <t>US</t>
        </is>
      </c>
      <c r="C23" t="n">
        <v>0.533</v>
      </c>
      <c r="D23" t="n">
        <v>0.08599999999999999</v>
      </c>
      <c r="E23" t="n">
        <v>0.216</v>
      </c>
      <c r="F23" t="n">
        <v>0.146</v>
      </c>
      <c r="G23" t="n">
        <v>0.019</v>
      </c>
      <c r="H23">
        <f>INDEX(P_EF_Elec!$F:$F,MATCH(A23,P_EF_Elec!$A:$A,0))</f>
        <v/>
      </c>
      <c r="I23">
        <f>INDEX(P_GasEff!$B:$B,MATCH(A23,P_GasEff!$A:$A,0))</f>
        <v/>
      </c>
      <c r="J23">
        <f>INDEX(P_HPcop!$B:$B,MATCH(A23,P_HPcop!$A:$A,0))</f>
        <v/>
      </c>
      <c r="K23">
        <f>C23*(63.28/I23)+D23*(79.8/0.84)+E23*H23+F23*(H23/J23)+G23*(1.1/0.65)</f>
        <v/>
      </c>
      <c r="L23">
        <f>C23/I23+D23/0.84+E23+F23/J23+G23/0.65</f>
        <v/>
      </c>
    </row>
    <row r="24">
      <c r="A24" t="inlineStr">
        <is>
          <t>CT</t>
        </is>
      </c>
      <c r="B24" t="inlineStr">
        <is>
          <t>US</t>
        </is>
      </c>
      <c r="C24" t="n">
        <v>0.533</v>
      </c>
      <c r="D24" t="n">
        <v>0.08599999999999999</v>
      </c>
      <c r="E24" t="n">
        <v>0.216</v>
      </c>
      <c r="F24" t="n">
        <v>0.146</v>
      </c>
      <c r="G24" t="n">
        <v>0.019</v>
      </c>
      <c r="H24">
        <f>INDEX(P_EF_Elec!$F:$F,MATCH(A24,P_EF_Elec!$A:$A,0))</f>
        <v/>
      </c>
      <c r="I24">
        <f>INDEX(P_GasEff!$B:$B,MATCH(A24,P_GasEff!$A:$A,0))</f>
        <v/>
      </c>
      <c r="J24">
        <f>INDEX(P_HPcop!$B:$B,MATCH(A24,P_HPcop!$A:$A,0))</f>
        <v/>
      </c>
      <c r="K24">
        <f>C24*(63.28/I24)+D24*(79.8/0.84)+E24*H24+F24*(H24/J24)+G24*(1.1/0.65)</f>
        <v/>
      </c>
      <c r="L24">
        <f>C24/I24+D24/0.84+E24+F24/J24+G24/0.65</f>
        <v/>
      </c>
    </row>
    <row r="25">
      <c r="A25" t="inlineStr">
        <is>
          <t>DE</t>
        </is>
      </c>
      <c r="B25" t="inlineStr">
        <is>
          <t>US</t>
        </is>
      </c>
      <c r="C25" t="n">
        <v>0.533</v>
      </c>
      <c r="D25" t="n">
        <v>0.08599999999999999</v>
      </c>
      <c r="E25" t="n">
        <v>0.216</v>
      </c>
      <c r="F25" t="n">
        <v>0.146</v>
      </c>
      <c r="G25" t="n">
        <v>0.019</v>
      </c>
      <c r="H25">
        <f>INDEX(P_EF_Elec!$F:$F,MATCH(A25,P_EF_Elec!$A:$A,0))</f>
        <v/>
      </c>
      <c r="I25">
        <f>INDEX(P_GasEff!$B:$B,MATCH(A25,P_GasEff!$A:$A,0))</f>
        <v/>
      </c>
      <c r="J25">
        <f>INDEX(P_HPcop!$B:$B,MATCH(A25,P_HPcop!$A:$A,0))</f>
        <v/>
      </c>
      <c r="K25">
        <f>C25*(63.28/I25)+D25*(79.8/0.84)+E25*H25+F25*(H25/J25)+G25*(1.1/0.65)</f>
        <v/>
      </c>
      <c r="L25">
        <f>C25/I25+D25/0.84+E25+F25/J25+G25/0.65</f>
        <v/>
      </c>
    </row>
    <row r="26">
      <c r="A26" t="inlineStr">
        <is>
          <t>FL</t>
        </is>
      </c>
      <c r="B26" t="inlineStr">
        <is>
          <t>US</t>
        </is>
      </c>
      <c r="C26" t="n">
        <v>0.533</v>
      </c>
      <c r="D26" t="n">
        <v>0.08599999999999999</v>
      </c>
      <c r="E26" t="n">
        <v>0.216</v>
      </c>
      <c r="F26" t="n">
        <v>0.146</v>
      </c>
      <c r="G26" t="n">
        <v>0.019</v>
      </c>
      <c r="H26">
        <f>INDEX(P_EF_Elec!$F:$F,MATCH(A26,P_EF_Elec!$A:$A,0))</f>
        <v/>
      </c>
      <c r="I26">
        <f>INDEX(P_GasEff!$B:$B,MATCH(A26,P_GasEff!$A:$A,0))</f>
        <v/>
      </c>
      <c r="J26">
        <f>INDEX(P_HPcop!$B:$B,MATCH(A26,P_HPcop!$A:$A,0))</f>
        <v/>
      </c>
      <c r="K26">
        <f>C26*(63.28/I26)+D26*(79.8/0.84)+E26*H26+F26*(H26/J26)+G26*(1.1/0.65)</f>
        <v/>
      </c>
      <c r="L26">
        <f>C26/I26+D26/0.84+E26+F26/J26+G26/0.65</f>
        <v/>
      </c>
    </row>
    <row r="27">
      <c r="A27" t="inlineStr">
        <is>
          <t>GA</t>
        </is>
      </c>
      <c r="B27" t="inlineStr">
        <is>
          <t>US</t>
        </is>
      </c>
      <c r="C27" t="n">
        <v>0.533</v>
      </c>
      <c r="D27" t="n">
        <v>0.08599999999999999</v>
      </c>
      <c r="E27" t="n">
        <v>0.216</v>
      </c>
      <c r="F27" t="n">
        <v>0.146</v>
      </c>
      <c r="G27" t="n">
        <v>0.019</v>
      </c>
      <c r="H27">
        <f>INDEX(P_EF_Elec!$F:$F,MATCH(A27,P_EF_Elec!$A:$A,0))</f>
        <v/>
      </c>
      <c r="I27">
        <f>INDEX(P_GasEff!$B:$B,MATCH(A27,P_GasEff!$A:$A,0))</f>
        <v/>
      </c>
      <c r="J27">
        <f>INDEX(P_HPcop!$B:$B,MATCH(A27,P_HPcop!$A:$A,0))</f>
        <v/>
      </c>
      <c r="K27">
        <f>C27*(63.28/I27)+D27*(79.8/0.84)+E27*H27+F27*(H27/J27)+G27*(1.1/0.65)</f>
        <v/>
      </c>
      <c r="L27">
        <f>C27/I27+D27/0.84+E27+F27/J27+G27/0.65</f>
        <v/>
      </c>
    </row>
    <row r="28">
      <c r="A28" t="inlineStr">
        <is>
          <t>HI</t>
        </is>
      </c>
      <c r="B28" t="inlineStr">
        <is>
          <t>US</t>
        </is>
      </c>
      <c r="C28" t="n">
        <v>0.533</v>
      </c>
      <c r="D28" t="n">
        <v>0.08599999999999999</v>
      </c>
      <c r="E28" t="n">
        <v>0.216</v>
      </c>
      <c r="F28" t="n">
        <v>0.146</v>
      </c>
      <c r="G28" t="n">
        <v>0.019</v>
      </c>
      <c r="H28">
        <f>INDEX(P_EF_Elec!$F:$F,MATCH(A28,P_EF_Elec!$A:$A,0))</f>
        <v/>
      </c>
      <c r="I28">
        <f>INDEX(P_GasEff!$B:$B,MATCH(A28,P_GasEff!$A:$A,0))</f>
        <v/>
      </c>
      <c r="J28">
        <f>INDEX(P_HPcop!$B:$B,MATCH(A28,P_HPcop!$A:$A,0))</f>
        <v/>
      </c>
      <c r="K28">
        <f>C28*(63.28/I28)+D28*(79.8/0.84)+E28*H28+F28*(H28/J28)+G28*(1.1/0.65)</f>
        <v/>
      </c>
      <c r="L28">
        <f>C28/I28+D28/0.84+E28+F28/J28+G28/0.65</f>
        <v/>
      </c>
    </row>
    <row r="29">
      <c r="A29" t="inlineStr">
        <is>
          <t>ID</t>
        </is>
      </c>
      <c r="B29" t="inlineStr">
        <is>
          <t>US</t>
        </is>
      </c>
      <c r="C29" t="n">
        <v>0.533</v>
      </c>
      <c r="D29" t="n">
        <v>0.08599999999999999</v>
      </c>
      <c r="E29" t="n">
        <v>0.216</v>
      </c>
      <c r="F29" t="n">
        <v>0.146</v>
      </c>
      <c r="G29" t="n">
        <v>0.019</v>
      </c>
      <c r="H29">
        <f>INDEX(P_EF_Elec!$F:$F,MATCH(A29,P_EF_Elec!$A:$A,0))</f>
        <v/>
      </c>
      <c r="I29">
        <f>INDEX(P_GasEff!$B:$B,MATCH(A29,P_GasEff!$A:$A,0))</f>
        <v/>
      </c>
      <c r="J29">
        <f>INDEX(P_HPcop!$B:$B,MATCH(A29,P_HPcop!$A:$A,0))</f>
        <v/>
      </c>
      <c r="K29">
        <f>C29*(63.28/I29)+D29*(79.8/0.84)+E29*H29+F29*(H29/J29)+G29*(1.1/0.65)</f>
        <v/>
      </c>
      <c r="L29">
        <f>C29/I29+D29/0.84+E29+F29/J29+G29/0.65</f>
        <v/>
      </c>
    </row>
    <row r="30">
      <c r="A30" t="inlineStr">
        <is>
          <t>IL</t>
        </is>
      </c>
      <c r="B30" t="inlineStr">
        <is>
          <t>US</t>
        </is>
      </c>
      <c r="C30" t="n">
        <v>0.533</v>
      </c>
      <c r="D30" t="n">
        <v>0.08599999999999999</v>
      </c>
      <c r="E30" t="n">
        <v>0.216</v>
      </c>
      <c r="F30" t="n">
        <v>0.146</v>
      </c>
      <c r="G30" t="n">
        <v>0.019</v>
      </c>
      <c r="H30">
        <f>INDEX(P_EF_Elec!$F:$F,MATCH(A30,P_EF_Elec!$A:$A,0))</f>
        <v/>
      </c>
      <c r="I30">
        <f>INDEX(P_GasEff!$B:$B,MATCH(A30,P_GasEff!$A:$A,0))</f>
        <v/>
      </c>
      <c r="J30">
        <f>INDEX(P_HPcop!$B:$B,MATCH(A30,P_HPcop!$A:$A,0))</f>
        <v/>
      </c>
      <c r="K30">
        <f>C30*(63.28/I30)+D30*(79.8/0.84)+E30*H30+F30*(H30/J30)+G30*(1.1/0.65)</f>
        <v/>
      </c>
      <c r="L30">
        <f>C30/I30+D30/0.84+E30+F30/J30+G30/0.65</f>
        <v/>
      </c>
    </row>
    <row r="31">
      <c r="A31" t="inlineStr">
        <is>
          <t>IN</t>
        </is>
      </c>
      <c r="B31" t="inlineStr">
        <is>
          <t>US</t>
        </is>
      </c>
      <c r="C31" t="n">
        <v>0.533</v>
      </c>
      <c r="D31" t="n">
        <v>0.08599999999999999</v>
      </c>
      <c r="E31" t="n">
        <v>0.216</v>
      </c>
      <c r="F31" t="n">
        <v>0.146</v>
      </c>
      <c r="G31" t="n">
        <v>0.019</v>
      </c>
      <c r="H31">
        <f>INDEX(P_EF_Elec!$F:$F,MATCH(A31,P_EF_Elec!$A:$A,0))</f>
        <v/>
      </c>
      <c r="I31">
        <f>INDEX(P_GasEff!$B:$B,MATCH(A31,P_GasEff!$A:$A,0))</f>
        <v/>
      </c>
      <c r="J31">
        <f>INDEX(P_HPcop!$B:$B,MATCH(A31,P_HPcop!$A:$A,0))</f>
        <v/>
      </c>
      <c r="K31">
        <f>C31*(63.28/I31)+D31*(79.8/0.84)+E31*H31+F31*(H31/J31)+G31*(1.1/0.65)</f>
        <v/>
      </c>
      <c r="L31">
        <f>C31/I31+D31/0.84+E31+F31/J31+G31/0.65</f>
        <v/>
      </c>
    </row>
    <row r="32">
      <c r="A32" t="inlineStr">
        <is>
          <t>IA</t>
        </is>
      </c>
      <c r="B32" t="inlineStr">
        <is>
          <t>US</t>
        </is>
      </c>
      <c r="C32" t="n">
        <v>0.533</v>
      </c>
      <c r="D32" t="n">
        <v>0.08599999999999999</v>
      </c>
      <c r="E32" t="n">
        <v>0.216</v>
      </c>
      <c r="F32" t="n">
        <v>0.146</v>
      </c>
      <c r="G32" t="n">
        <v>0.019</v>
      </c>
      <c r="H32">
        <f>INDEX(P_EF_Elec!$F:$F,MATCH(A32,P_EF_Elec!$A:$A,0))</f>
        <v/>
      </c>
      <c r="I32">
        <f>INDEX(P_GasEff!$B:$B,MATCH(A32,P_GasEff!$A:$A,0))</f>
        <v/>
      </c>
      <c r="J32">
        <f>INDEX(P_HPcop!$B:$B,MATCH(A32,P_HPcop!$A:$A,0))</f>
        <v/>
      </c>
      <c r="K32">
        <f>C32*(63.28/I32)+D32*(79.8/0.84)+E32*H32+F32*(H32/J32)+G32*(1.1/0.65)</f>
        <v/>
      </c>
      <c r="L32">
        <f>C32/I32+D32/0.84+E32+F32/J32+G32/0.65</f>
        <v/>
      </c>
    </row>
    <row r="33">
      <c r="A33" t="inlineStr">
        <is>
          <t>KS</t>
        </is>
      </c>
      <c r="B33" t="inlineStr">
        <is>
          <t>US</t>
        </is>
      </c>
      <c r="C33" t="n">
        <v>0.533</v>
      </c>
      <c r="D33" t="n">
        <v>0.08599999999999999</v>
      </c>
      <c r="E33" t="n">
        <v>0.216</v>
      </c>
      <c r="F33" t="n">
        <v>0.146</v>
      </c>
      <c r="G33" t="n">
        <v>0.019</v>
      </c>
      <c r="H33">
        <f>INDEX(P_EF_Elec!$F:$F,MATCH(A33,P_EF_Elec!$A:$A,0))</f>
        <v/>
      </c>
      <c r="I33">
        <f>INDEX(P_GasEff!$B:$B,MATCH(A33,P_GasEff!$A:$A,0))</f>
        <v/>
      </c>
      <c r="J33">
        <f>INDEX(P_HPcop!$B:$B,MATCH(A33,P_HPcop!$A:$A,0))</f>
        <v/>
      </c>
      <c r="K33">
        <f>C33*(63.28/I33)+D33*(79.8/0.84)+E33*H33+F33*(H33/J33)+G33*(1.1/0.65)</f>
        <v/>
      </c>
      <c r="L33">
        <f>C33/I33+D33/0.84+E33+F33/J33+G33/0.65</f>
        <v/>
      </c>
    </row>
    <row r="34">
      <c r="A34" t="inlineStr">
        <is>
          <t>KY</t>
        </is>
      </c>
      <c r="B34" t="inlineStr">
        <is>
          <t>US</t>
        </is>
      </c>
      <c r="C34" t="n">
        <v>0.533</v>
      </c>
      <c r="D34" t="n">
        <v>0.08599999999999999</v>
      </c>
      <c r="E34" t="n">
        <v>0.216</v>
      </c>
      <c r="F34" t="n">
        <v>0.146</v>
      </c>
      <c r="G34" t="n">
        <v>0.019</v>
      </c>
      <c r="H34">
        <f>INDEX(P_EF_Elec!$F:$F,MATCH(A34,P_EF_Elec!$A:$A,0))</f>
        <v/>
      </c>
      <c r="I34">
        <f>INDEX(P_GasEff!$B:$B,MATCH(A34,P_GasEff!$A:$A,0))</f>
        <v/>
      </c>
      <c r="J34">
        <f>INDEX(P_HPcop!$B:$B,MATCH(A34,P_HPcop!$A:$A,0))</f>
        <v/>
      </c>
      <c r="K34">
        <f>C34*(63.28/I34)+D34*(79.8/0.84)+E34*H34+F34*(H34/J34)+G34*(1.1/0.65)</f>
        <v/>
      </c>
      <c r="L34">
        <f>C34/I34+D34/0.84+E34+F34/J34+G34/0.65</f>
        <v/>
      </c>
    </row>
    <row r="35">
      <c r="A35" t="inlineStr">
        <is>
          <t>LA</t>
        </is>
      </c>
      <c r="B35" t="inlineStr">
        <is>
          <t>US</t>
        </is>
      </c>
      <c r="C35" t="n">
        <v>0.533</v>
      </c>
      <c r="D35" t="n">
        <v>0.08599999999999999</v>
      </c>
      <c r="E35" t="n">
        <v>0.216</v>
      </c>
      <c r="F35" t="n">
        <v>0.146</v>
      </c>
      <c r="G35" t="n">
        <v>0.019</v>
      </c>
      <c r="H35">
        <f>INDEX(P_EF_Elec!$F:$F,MATCH(A35,P_EF_Elec!$A:$A,0))</f>
        <v/>
      </c>
      <c r="I35">
        <f>INDEX(P_GasEff!$B:$B,MATCH(A35,P_GasEff!$A:$A,0))</f>
        <v/>
      </c>
      <c r="J35">
        <f>INDEX(P_HPcop!$B:$B,MATCH(A35,P_HPcop!$A:$A,0))</f>
        <v/>
      </c>
      <c r="K35">
        <f>C35*(63.28/I35)+D35*(79.8/0.84)+E35*H35+F35*(H35/J35)+G35*(1.1/0.65)</f>
        <v/>
      </c>
      <c r="L35">
        <f>C35/I35+D35/0.84+E35+F35/J35+G35/0.65</f>
        <v/>
      </c>
    </row>
    <row r="36">
      <c r="A36" t="inlineStr">
        <is>
          <t>ME</t>
        </is>
      </c>
      <c r="B36" t="inlineStr">
        <is>
          <t>US</t>
        </is>
      </c>
      <c r="C36" t="n">
        <v>0.533</v>
      </c>
      <c r="D36" t="n">
        <v>0.08599999999999999</v>
      </c>
      <c r="E36" t="n">
        <v>0.216</v>
      </c>
      <c r="F36" t="n">
        <v>0.146</v>
      </c>
      <c r="G36" t="n">
        <v>0.019</v>
      </c>
      <c r="H36">
        <f>INDEX(P_EF_Elec!$F:$F,MATCH(A36,P_EF_Elec!$A:$A,0))</f>
        <v/>
      </c>
      <c r="I36">
        <f>INDEX(P_GasEff!$B:$B,MATCH(A36,P_GasEff!$A:$A,0))</f>
        <v/>
      </c>
      <c r="J36">
        <f>INDEX(P_HPcop!$B:$B,MATCH(A36,P_HPcop!$A:$A,0))</f>
        <v/>
      </c>
      <c r="K36">
        <f>C36*(63.28/I36)+D36*(79.8/0.84)+E36*H36+F36*(H36/J36)+G36*(1.1/0.65)</f>
        <v/>
      </c>
      <c r="L36">
        <f>C36/I36+D36/0.84+E36+F36/J36+G36/0.65</f>
        <v/>
      </c>
    </row>
    <row r="37">
      <c r="A37" t="inlineStr">
        <is>
          <t>MD</t>
        </is>
      </c>
      <c r="B37" t="inlineStr">
        <is>
          <t>US</t>
        </is>
      </c>
      <c r="C37" t="n">
        <v>0.533</v>
      </c>
      <c r="D37" t="n">
        <v>0.08599999999999999</v>
      </c>
      <c r="E37" t="n">
        <v>0.216</v>
      </c>
      <c r="F37" t="n">
        <v>0.146</v>
      </c>
      <c r="G37" t="n">
        <v>0.019</v>
      </c>
      <c r="H37">
        <f>INDEX(P_EF_Elec!$F:$F,MATCH(A37,P_EF_Elec!$A:$A,0))</f>
        <v/>
      </c>
      <c r="I37">
        <f>INDEX(P_GasEff!$B:$B,MATCH(A37,P_GasEff!$A:$A,0))</f>
        <v/>
      </c>
      <c r="J37">
        <f>INDEX(P_HPcop!$B:$B,MATCH(A37,P_HPcop!$A:$A,0))</f>
        <v/>
      </c>
      <c r="K37">
        <f>C37*(63.28/I37)+D37*(79.8/0.84)+E37*H37+F37*(H37/J37)+G37*(1.1/0.65)</f>
        <v/>
      </c>
      <c r="L37">
        <f>C37/I37+D37/0.84+E37+F37/J37+G37/0.65</f>
        <v/>
      </c>
    </row>
    <row r="38">
      <c r="A38" t="inlineStr">
        <is>
          <t>MA</t>
        </is>
      </c>
      <c r="B38" t="inlineStr">
        <is>
          <t>US</t>
        </is>
      </c>
      <c r="C38" t="n">
        <v>0.533</v>
      </c>
      <c r="D38" t="n">
        <v>0.08599999999999999</v>
      </c>
      <c r="E38" t="n">
        <v>0.216</v>
      </c>
      <c r="F38" t="n">
        <v>0.146</v>
      </c>
      <c r="G38" t="n">
        <v>0.019</v>
      </c>
      <c r="H38">
        <f>INDEX(P_EF_Elec!$F:$F,MATCH(A38,P_EF_Elec!$A:$A,0))</f>
        <v/>
      </c>
      <c r="I38">
        <f>INDEX(P_GasEff!$B:$B,MATCH(A38,P_GasEff!$A:$A,0))</f>
        <v/>
      </c>
      <c r="J38">
        <f>INDEX(P_HPcop!$B:$B,MATCH(A38,P_HPcop!$A:$A,0))</f>
        <v/>
      </c>
      <c r="K38">
        <f>C38*(63.28/I38)+D38*(79.8/0.84)+E38*H38+F38*(H38/J38)+G38*(1.1/0.65)</f>
        <v/>
      </c>
      <c r="L38">
        <f>C38/I38+D38/0.84+E38+F38/J38+G38/0.65</f>
        <v/>
      </c>
    </row>
    <row r="39">
      <c r="A39" t="inlineStr">
        <is>
          <t>MN</t>
        </is>
      </c>
      <c r="B39" t="inlineStr">
        <is>
          <t>US</t>
        </is>
      </c>
      <c r="C39" t="n">
        <v>0.533</v>
      </c>
      <c r="D39" t="n">
        <v>0.08599999999999999</v>
      </c>
      <c r="E39" t="n">
        <v>0.216</v>
      </c>
      <c r="F39" t="n">
        <v>0.146</v>
      </c>
      <c r="G39" t="n">
        <v>0.019</v>
      </c>
      <c r="H39">
        <f>INDEX(P_EF_Elec!$F:$F,MATCH(A39,P_EF_Elec!$A:$A,0))</f>
        <v/>
      </c>
      <c r="I39">
        <f>INDEX(P_GasEff!$B:$B,MATCH(A39,P_GasEff!$A:$A,0))</f>
        <v/>
      </c>
      <c r="J39">
        <f>INDEX(P_HPcop!$B:$B,MATCH(A39,P_HPcop!$A:$A,0))</f>
        <v/>
      </c>
      <c r="K39">
        <f>C39*(63.28/I39)+D39*(79.8/0.84)+E39*H39+F39*(H39/J39)+G39*(1.1/0.65)</f>
        <v/>
      </c>
      <c r="L39">
        <f>C39/I39+D39/0.84+E39+F39/J39+G39/0.65</f>
        <v/>
      </c>
    </row>
    <row r="40">
      <c r="A40" t="inlineStr">
        <is>
          <t>MS</t>
        </is>
      </c>
      <c r="B40" t="inlineStr">
        <is>
          <t>US</t>
        </is>
      </c>
      <c r="C40" t="n">
        <v>0.533</v>
      </c>
      <c r="D40" t="n">
        <v>0.08599999999999999</v>
      </c>
      <c r="E40" t="n">
        <v>0.216</v>
      </c>
      <c r="F40" t="n">
        <v>0.146</v>
      </c>
      <c r="G40" t="n">
        <v>0.019</v>
      </c>
      <c r="H40">
        <f>INDEX(P_EF_Elec!$F:$F,MATCH(A40,P_EF_Elec!$A:$A,0))</f>
        <v/>
      </c>
      <c r="I40">
        <f>INDEX(P_GasEff!$B:$B,MATCH(A40,P_GasEff!$A:$A,0))</f>
        <v/>
      </c>
      <c r="J40">
        <f>INDEX(P_HPcop!$B:$B,MATCH(A40,P_HPcop!$A:$A,0))</f>
        <v/>
      </c>
      <c r="K40">
        <f>C40*(63.28/I40)+D40*(79.8/0.84)+E40*H40+F40*(H40/J40)+G40*(1.1/0.65)</f>
        <v/>
      </c>
      <c r="L40">
        <f>C40/I40+D40/0.84+E40+F40/J40+G40/0.65</f>
        <v/>
      </c>
    </row>
    <row r="41">
      <c r="A41" t="inlineStr">
        <is>
          <t>MO</t>
        </is>
      </c>
      <c r="B41" t="inlineStr">
        <is>
          <t>US</t>
        </is>
      </c>
      <c r="C41" t="n">
        <v>0.533</v>
      </c>
      <c r="D41" t="n">
        <v>0.08599999999999999</v>
      </c>
      <c r="E41" t="n">
        <v>0.216</v>
      </c>
      <c r="F41" t="n">
        <v>0.146</v>
      </c>
      <c r="G41" t="n">
        <v>0.019</v>
      </c>
      <c r="H41">
        <f>INDEX(P_EF_Elec!$F:$F,MATCH(A41,P_EF_Elec!$A:$A,0))</f>
        <v/>
      </c>
      <c r="I41">
        <f>INDEX(P_GasEff!$B:$B,MATCH(A41,P_GasEff!$A:$A,0))</f>
        <v/>
      </c>
      <c r="J41">
        <f>INDEX(P_HPcop!$B:$B,MATCH(A41,P_HPcop!$A:$A,0))</f>
        <v/>
      </c>
      <c r="K41">
        <f>C41*(63.28/I41)+D41*(79.8/0.84)+E41*H41+F41*(H41/J41)+G41*(1.1/0.65)</f>
        <v/>
      </c>
      <c r="L41">
        <f>C41/I41+D41/0.84+E41+F41/J41+G41/0.65</f>
        <v/>
      </c>
    </row>
    <row r="42">
      <c r="A42" t="inlineStr">
        <is>
          <t>MT</t>
        </is>
      </c>
      <c r="B42" t="inlineStr">
        <is>
          <t>US</t>
        </is>
      </c>
      <c r="C42" t="n">
        <v>0.533</v>
      </c>
      <c r="D42" t="n">
        <v>0.08599999999999999</v>
      </c>
      <c r="E42" t="n">
        <v>0.216</v>
      </c>
      <c r="F42" t="n">
        <v>0.146</v>
      </c>
      <c r="G42" t="n">
        <v>0.019</v>
      </c>
      <c r="H42">
        <f>INDEX(P_EF_Elec!$F:$F,MATCH(A42,P_EF_Elec!$A:$A,0))</f>
        <v/>
      </c>
      <c r="I42">
        <f>INDEX(P_GasEff!$B:$B,MATCH(A42,P_GasEff!$A:$A,0))</f>
        <v/>
      </c>
      <c r="J42">
        <f>INDEX(P_HPcop!$B:$B,MATCH(A42,P_HPcop!$A:$A,0))</f>
        <v/>
      </c>
      <c r="K42">
        <f>C42*(63.28/I42)+D42*(79.8/0.84)+E42*H42+F42*(H42/J42)+G42*(1.1/0.65)</f>
        <v/>
      </c>
      <c r="L42">
        <f>C42/I42+D42/0.84+E42+F42/J42+G42/0.65</f>
        <v/>
      </c>
    </row>
    <row r="43">
      <c r="A43" t="inlineStr">
        <is>
          <t>NE</t>
        </is>
      </c>
      <c r="B43" t="inlineStr">
        <is>
          <t>US</t>
        </is>
      </c>
      <c r="C43" t="n">
        <v>0.533</v>
      </c>
      <c r="D43" t="n">
        <v>0.08599999999999999</v>
      </c>
      <c r="E43" t="n">
        <v>0.216</v>
      </c>
      <c r="F43" t="n">
        <v>0.146</v>
      </c>
      <c r="G43" t="n">
        <v>0.019</v>
      </c>
      <c r="H43">
        <f>INDEX(P_EF_Elec!$F:$F,MATCH(A43,P_EF_Elec!$A:$A,0))</f>
        <v/>
      </c>
      <c r="I43">
        <f>INDEX(P_GasEff!$B:$B,MATCH(A43,P_GasEff!$A:$A,0))</f>
        <v/>
      </c>
      <c r="J43">
        <f>INDEX(P_HPcop!$B:$B,MATCH(A43,P_HPcop!$A:$A,0))</f>
        <v/>
      </c>
      <c r="K43">
        <f>C43*(63.28/I43)+D43*(79.8/0.84)+E43*H43+F43*(H43/J43)+G43*(1.1/0.65)</f>
        <v/>
      </c>
      <c r="L43">
        <f>C43/I43+D43/0.84+E43+F43/J43+G43/0.65</f>
        <v/>
      </c>
    </row>
    <row r="44">
      <c r="A44" t="inlineStr">
        <is>
          <t>NV</t>
        </is>
      </c>
      <c r="B44" t="inlineStr">
        <is>
          <t>US</t>
        </is>
      </c>
      <c r="C44" t="n">
        <v>0.533</v>
      </c>
      <c r="D44" t="n">
        <v>0.08599999999999999</v>
      </c>
      <c r="E44" t="n">
        <v>0.216</v>
      </c>
      <c r="F44" t="n">
        <v>0.146</v>
      </c>
      <c r="G44" t="n">
        <v>0.019</v>
      </c>
      <c r="H44">
        <f>INDEX(P_EF_Elec!$F:$F,MATCH(A44,P_EF_Elec!$A:$A,0))</f>
        <v/>
      </c>
      <c r="I44">
        <f>INDEX(P_GasEff!$B:$B,MATCH(A44,P_GasEff!$A:$A,0))</f>
        <v/>
      </c>
      <c r="J44">
        <f>INDEX(P_HPcop!$B:$B,MATCH(A44,P_HPcop!$A:$A,0))</f>
        <v/>
      </c>
      <c r="K44">
        <f>C44*(63.28/I44)+D44*(79.8/0.84)+E44*H44+F44*(H44/J44)+G44*(1.1/0.65)</f>
        <v/>
      </c>
      <c r="L44">
        <f>C44/I44+D44/0.84+E44+F44/J44+G44/0.65</f>
        <v/>
      </c>
    </row>
    <row r="45">
      <c r="A45" t="inlineStr">
        <is>
          <t>NH</t>
        </is>
      </c>
      <c r="B45" t="inlineStr">
        <is>
          <t>US</t>
        </is>
      </c>
      <c r="C45" t="n">
        <v>0.533</v>
      </c>
      <c r="D45" t="n">
        <v>0.08599999999999999</v>
      </c>
      <c r="E45" t="n">
        <v>0.216</v>
      </c>
      <c r="F45" t="n">
        <v>0.146</v>
      </c>
      <c r="G45" t="n">
        <v>0.019</v>
      </c>
      <c r="H45">
        <f>INDEX(P_EF_Elec!$F:$F,MATCH(A45,P_EF_Elec!$A:$A,0))</f>
        <v/>
      </c>
      <c r="I45">
        <f>INDEX(P_GasEff!$B:$B,MATCH(A45,P_GasEff!$A:$A,0))</f>
        <v/>
      </c>
      <c r="J45">
        <f>INDEX(P_HPcop!$B:$B,MATCH(A45,P_HPcop!$A:$A,0))</f>
        <v/>
      </c>
      <c r="K45">
        <f>C45*(63.28/I45)+D45*(79.8/0.84)+E45*H45+F45*(H45/J45)+G45*(1.1/0.65)</f>
        <v/>
      </c>
      <c r="L45">
        <f>C45/I45+D45/0.84+E45+F45/J45+G45/0.65</f>
        <v/>
      </c>
    </row>
    <row r="46">
      <c r="A46" t="inlineStr">
        <is>
          <t>NJ</t>
        </is>
      </c>
      <c r="B46" t="inlineStr">
        <is>
          <t>US</t>
        </is>
      </c>
      <c r="C46" t="n">
        <v>0.533</v>
      </c>
      <c r="D46" t="n">
        <v>0.08599999999999999</v>
      </c>
      <c r="E46" t="n">
        <v>0.216</v>
      </c>
      <c r="F46" t="n">
        <v>0.146</v>
      </c>
      <c r="G46" t="n">
        <v>0.019</v>
      </c>
      <c r="H46">
        <f>INDEX(P_EF_Elec!$F:$F,MATCH(A46,P_EF_Elec!$A:$A,0))</f>
        <v/>
      </c>
      <c r="I46">
        <f>INDEX(P_GasEff!$B:$B,MATCH(A46,P_GasEff!$A:$A,0))</f>
        <v/>
      </c>
      <c r="J46">
        <f>INDEX(P_HPcop!$B:$B,MATCH(A46,P_HPcop!$A:$A,0))</f>
        <v/>
      </c>
      <c r="K46">
        <f>C46*(63.28/I46)+D46*(79.8/0.84)+E46*H46+F46*(H46/J46)+G46*(1.1/0.65)</f>
        <v/>
      </c>
      <c r="L46">
        <f>C46/I46+D46/0.84+E46+F46/J46+G46/0.65</f>
        <v/>
      </c>
    </row>
    <row r="47">
      <c r="A47" t="inlineStr">
        <is>
          <t>NM</t>
        </is>
      </c>
      <c r="B47" t="inlineStr">
        <is>
          <t>US</t>
        </is>
      </c>
      <c r="C47" t="n">
        <v>0.533</v>
      </c>
      <c r="D47" t="n">
        <v>0.08599999999999999</v>
      </c>
      <c r="E47" t="n">
        <v>0.216</v>
      </c>
      <c r="F47" t="n">
        <v>0.146</v>
      </c>
      <c r="G47" t="n">
        <v>0.019</v>
      </c>
      <c r="H47">
        <f>INDEX(P_EF_Elec!$F:$F,MATCH(A47,P_EF_Elec!$A:$A,0))</f>
        <v/>
      </c>
      <c r="I47">
        <f>INDEX(P_GasEff!$B:$B,MATCH(A47,P_GasEff!$A:$A,0))</f>
        <v/>
      </c>
      <c r="J47">
        <f>INDEX(P_HPcop!$B:$B,MATCH(A47,P_HPcop!$A:$A,0))</f>
        <v/>
      </c>
      <c r="K47">
        <f>C47*(63.28/I47)+D47*(79.8/0.84)+E47*H47+F47*(H47/J47)+G47*(1.1/0.65)</f>
        <v/>
      </c>
      <c r="L47">
        <f>C47/I47+D47/0.84+E47+F47/J47+G47/0.65</f>
        <v/>
      </c>
    </row>
    <row r="48">
      <c r="A48" t="inlineStr">
        <is>
          <t>NC</t>
        </is>
      </c>
      <c r="B48" t="inlineStr">
        <is>
          <t>US</t>
        </is>
      </c>
      <c r="C48" t="n">
        <v>0.533</v>
      </c>
      <c r="D48" t="n">
        <v>0.08599999999999999</v>
      </c>
      <c r="E48" t="n">
        <v>0.216</v>
      </c>
      <c r="F48" t="n">
        <v>0.146</v>
      </c>
      <c r="G48" t="n">
        <v>0.019</v>
      </c>
      <c r="H48">
        <f>INDEX(P_EF_Elec!$F:$F,MATCH(A48,P_EF_Elec!$A:$A,0))</f>
        <v/>
      </c>
      <c r="I48">
        <f>INDEX(P_GasEff!$B:$B,MATCH(A48,P_GasEff!$A:$A,0))</f>
        <v/>
      </c>
      <c r="J48">
        <f>INDEX(P_HPcop!$B:$B,MATCH(A48,P_HPcop!$A:$A,0))</f>
        <v/>
      </c>
      <c r="K48">
        <f>C48*(63.28/I48)+D48*(79.8/0.84)+E48*H48+F48*(H48/J48)+G48*(1.1/0.65)</f>
        <v/>
      </c>
      <c r="L48">
        <f>C48/I48+D48/0.84+E48+F48/J48+G48/0.65</f>
        <v/>
      </c>
    </row>
    <row r="49">
      <c r="A49" t="inlineStr">
        <is>
          <t>ND</t>
        </is>
      </c>
      <c r="B49" t="inlineStr">
        <is>
          <t>US</t>
        </is>
      </c>
      <c r="C49" t="n">
        <v>0.533</v>
      </c>
      <c r="D49" t="n">
        <v>0.08599999999999999</v>
      </c>
      <c r="E49" t="n">
        <v>0.216</v>
      </c>
      <c r="F49" t="n">
        <v>0.146</v>
      </c>
      <c r="G49" t="n">
        <v>0.019</v>
      </c>
      <c r="H49">
        <f>INDEX(P_EF_Elec!$F:$F,MATCH(A49,P_EF_Elec!$A:$A,0))</f>
        <v/>
      </c>
      <c r="I49">
        <f>INDEX(P_GasEff!$B:$B,MATCH(A49,P_GasEff!$A:$A,0))</f>
        <v/>
      </c>
      <c r="J49">
        <f>INDEX(P_HPcop!$B:$B,MATCH(A49,P_HPcop!$A:$A,0))</f>
        <v/>
      </c>
      <c r="K49">
        <f>C49*(63.28/I49)+D49*(79.8/0.84)+E49*H49+F49*(H49/J49)+G49*(1.1/0.65)</f>
        <v/>
      </c>
      <c r="L49">
        <f>C49/I49+D49/0.84+E49+F49/J49+G49/0.65</f>
        <v/>
      </c>
    </row>
    <row r="50">
      <c r="A50" t="inlineStr">
        <is>
          <t>OH</t>
        </is>
      </c>
      <c r="B50" t="inlineStr">
        <is>
          <t>US</t>
        </is>
      </c>
      <c r="C50" t="n">
        <v>0.533</v>
      </c>
      <c r="D50" t="n">
        <v>0.08599999999999999</v>
      </c>
      <c r="E50" t="n">
        <v>0.216</v>
      </c>
      <c r="F50" t="n">
        <v>0.146</v>
      </c>
      <c r="G50" t="n">
        <v>0.019</v>
      </c>
      <c r="H50">
        <f>INDEX(P_EF_Elec!$F:$F,MATCH(A50,P_EF_Elec!$A:$A,0))</f>
        <v/>
      </c>
      <c r="I50">
        <f>INDEX(P_GasEff!$B:$B,MATCH(A50,P_GasEff!$A:$A,0))</f>
        <v/>
      </c>
      <c r="J50">
        <f>INDEX(P_HPcop!$B:$B,MATCH(A50,P_HPcop!$A:$A,0))</f>
        <v/>
      </c>
      <c r="K50">
        <f>C50*(63.28/I50)+D50*(79.8/0.84)+E50*H50+F50*(H50/J50)+G50*(1.1/0.65)</f>
        <v/>
      </c>
      <c r="L50">
        <f>C50/I50+D50/0.84+E50+F50/J50+G50/0.65</f>
        <v/>
      </c>
    </row>
    <row r="51">
      <c r="A51" t="inlineStr">
        <is>
          <t>OK</t>
        </is>
      </c>
      <c r="B51" t="inlineStr">
        <is>
          <t>US</t>
        </is>
      </c>
      <c r="C51" t="n">
        <v>0.533</v>
      </c>
      <c r="D51" t="n">
        <v>0.08599999999999999</v>
      </c>
      <c r="E51" t="n">
        <v>0.216</v>
      </c>
      <c r="F51" t="n">
        <v>0.146</v>
      </c>
      <c r="G51" t="n">
        <v>0.019</v>
      </c>
      <c r="H51">
        <f>INDEX(P_EF_Elec!$F:$F,MATCH(A51,P_EF_Elec!$A:$A,0))</f>
        <v/>
      </c>
      <c r="I51">
        <f>INDEX(P_GasEff!$B:$B,MATCH(A51,P_GasEff!$A:$A,0))</f>
        <v/>
      </c>
      <c r="J51">
        <f>INDEX(P_HPcop!$B:$B,MATCH(A51,P_HPcop!$A:$A,0))</f>
        <v/>
      </c>
      <c r="K51">
        <f>C51*(63.28/I51)+D51*(79.8/0.84)+E51*H51+F51*(H51/J51)+G51*(1.1/0.65)</f>
        <v/>
      </c>
      <c r="L51">
        <f>C51/I51+D51/0.84+E51+F51/J51+G51/0.65</f>
        <v/>
      </c>
    </row>
    <row r="52">
      <c r="A52" t="inlineStr">
        <is>
          <t>OR</t>
        </is>
      </c>
      <c r="B52" t="inlineStr">
        <is>
          <t>US</t>
        </is>
      </c>
      <c r="C52" t="n">
        <v>0.533</v>
      </c>
      <c r="D52" t="n">
        <v>0.08599999999999999</v>
      </c>
      <c r="E52" t="n">
        <v>0.216</v>
      </c>
      <c r="F52" t="n">
        <v>0.146</v>
      </c>
      <c r="G52" t="n">
        <v>0.019</v>
      </c>
      <c r="H52">
        <f>INDEX(P_EF_Elec!$F:$F,MATCH(A52,P_EF_Elec!$A:$A,0))</f>
        <v/>
      </c>
      <c r="I52">
        <f>INDEX(P_GasEff!$B:$B,MATCH(A52,P_GasEff!$A:$A,0))</f>
        <v/>
      </c>
      <c r="J52">
        <f>INDEX(P_HPcop!$B:$B,MATCH(A52,P_HPcop!$A:$A,0))</f>
        <v/>
      </c>
      <c r="K52">
        <f>C52*(63.28/I52)+D52*(79.8/0.84)+E52*H52+F52*(H52/J52)+G52*(1.1/0.65)</f>
        <v/>
      </c>
      <c r="L52">
        <f>C52/I52+D52/0.84+E52+F52/J52+G52/0.65</f>
        <v/>
      </c>
    </row>
    <row r="53">
      <c r="A53" t="inlineStr">
        <is>
          <t>PA</t>
        </is>
      </c>
      <c r="B53" t="inlineStr">
        <is>
          <t>US</t>
        </is>
      </c>
      <c r="C53" t="n">
        <v>0.533</v>
      </c>
      <c r="D53" t="n">
        <v>0.08599999999999999</v>
      </c>
      <c r="E53" t="n">
        <v>0.216</v>
      </c>
      <c r="F53" t="n">
        <v>0.146</v>
      </c>
      <c r="G53" t="n">
        <v>0.019</v>
      </c>
      <c r="H53">
        <f>INDEX(P_EF_Elec!$F:$F,MATCH(A53,P_EF_Elec!$A:$A,0))</f>
        <v/>
      </c>
      <c r="I53">
        <f>INDEX(P_GasEff!$B:$B,MATCH(A53,P_GasEff!$A:$A,0))</f>
        <v/>
      </c>
      <c r="J53">
        <f>INDEX(P_HPcop!$B:$B,MATCH(A53,P_HPcop!$A:$A,0))</f>
        <v/>
      </c>
      <c r="K53">
        <f>C53*(63.28/I53)+D53*(79.8/0.84)+E53*H53+F53*(H53/J53)+G53*(1.1/0.65)</f>
        <v/>
      </c>
      <c r="L53">
        <f>C53/I53+D53/0.84+E53+F53/J53+G53/0.65</f>
        <v/>
      </c>
    </row>
    <row r="54">
      <c r="A54" t="inlineStr">
        <is>
          <t>RI</t>
        </is>
      </c>
      <c r="B54" t="inlineStr">
        <is>
          <t>US</t>
        </is>
      </c>
      <c r="C54" t="n">
        <v>0.533</v>
      </c>
      <c r="D54" t="n">
        <v>0.08599999999999999</v>
      </c>
      <c r="E54" t="n">
        <v>0.216</v>
      </c>
      <c r="F54" t="n">
        <v>0.146</v>
      </c>
      <c r="G54" t="n">
        <v>0.019</v>
      </c>
      <c r="H54">
        <f>INDEX(P_EF_Elec!$F:$F,MATCH(A54,P_EF_Elec!$A:$A,0))</f>
        <v/>
      </c>
      <c r="I54">
        <f>INDEX(P_GasEff!$B:$B,MATCH(A54,P_GasEff!$A:$A,0))</f>
        <v/>
      </c>
      <c r="J54">
        <f>INDEX(P_HPcop!$B:$B,MATCH(A54,P_HPcop!$A:$A,0))</f>
        <v/>
      </c>
      <c r="K54">
        <f>C54*(63.28/I54)+D54*(79.8/0.84)+E54*H54+F54*(H54/J54)+G54*(1.1/0.65)</f>
        <v/>
      </c>
      <c r="L54">
        <f>C54/I54+D54/0.84+E54+F54/J54+G54/0.65</f>
        <v/>
      </c>
    </row>
    <row r="55">
      <c r="A55" t="inlineStr">
        <is>
          <t>SC</t>
        </is>
      </c>
      <c r="B55" t="inlineStr">
        <is>
          <t>US</t>
        </is>
      </c>
      <c r="C55" t="n">
        <v>0.533</v>
      </c>
      <c r="D55" t="n">
        <v>0.08599999999999999</v>
      </c>
      <c r="E55" t="n">
        <v>0.216</v>
      </c>
      <c r="F55" t="n">
        <v>0.146</v>
      </c>
      <c r="G55" t="n">
        <v>0.019</v>
      </c>
      <c r="H55">
        <f>INDEX(P_EF_Elec!$F:$F,MATCH(A55,P_EF_Elec!$A:$A,0))</f>
        <v/>
      </c>
      <c r="I55">
        <f>INDEX(P_GasEff!$B:$B,MATCH(A55,P_GasEff!$A:$A,0))</f>
        <v/>
      </c>
      <c r="J55">
        <f>INDEX(P_HPcop!$B:$B,MATCH(A55,P_HPcop!$A:$A,0))</f>
        <v/>
      </c>
      <c r="K55">
        <f>C55*(63.28/I55)+D55*(79.8/0.84)+E55*H55+F55*(H55/J55)+G55*(1.1/0.65)</f>
        <v/>
      </c>
      <c r="L55">
        <f>C55/I55+D55/0.84+E55+F55/J55+G55/0.65</f>
        <v/>
      </c>
    </row>
    <row r="56">
      <c r="A56" t="inlineStr">
        <is>
          <t>SD</t>
        </is>
      </c>
      <c r="B56" t="inlineStr">
        <is>
          <t>US</t>
        </is>
      </c>
      <c r="C56" t="n">
        <v>0.533</v>
      </c>
      <c r="D56" t="n">
        <v>0.08599999999999999</v>
      </c>
      <c r="E56" t="n">
        <v>0.216</v>
      </c>
      <c r="F56" t="n">
        <v>0.146</v>
      </c>
      <c r="G56" t="n">
        <v>0.019</v>
      </c>
      <c r="H56">
        <f>INDEX(P_EF_Elec!$F:$F,MATCH(A56,P_EF_Elec!$A:$A,0))</f>
        <v/>
      </c>
      <c r="I56">
        <f>INDEX(P_GasEff!$B:$B,MATCH(A56,P_GasEff!$A:$A,0))</f>
        <v/>
      </c>
      <c r="J56">
        <f>INDEX(P_HPcop!$B:$B,MATCH(A56,P_HPcop!$A:$A,0))</f>
        <v/>
      </c>
      <c r="K56">
        <f>C56*(63.28/I56)+D56*(79.8/0.84)+E56*H56+F56*(H56/J56)+G56*(1.1/0.65)</f>
        <v/>
      </c>
      <c r="L56">
        <f>C56/I56+D56/0.84+E56+F56/J56+G56/0.65</f>
        <v/>
      </c>
    </row>
    <row r="57">
      <c r="A57" t="inlineStr">
        <is>
          <t>TN</t>
        </is>
      </c>
      <c r="B57" t="inlineStr">
        <is>
          <t>US</t>
        </is>
      </c>
      <c r="C57" t="n">
        <v>0.533</v>
      </c>
      <c r="D57" t="n">
        <v>0.08599999999999999</v>
      </c>
      <c r="E57" t="n">
        <v>0.216</v>
      </c>
      <c r="F57" t="n">
        <v>0.146</v>
      </c>
      <c r="G57" t="n">
        <v>0.019</v>
      </c>
      <c r="H57">
        <f>INDEX(P_EF_Elec!$F:$F,MATCH(A57,P_EF_Elec!$A:$A,0))</f>
        <v/>
      </c>
      <c r="I57">
        <f>INDEX(P_GasEff!$B:$B,MATCH(A57,P_GasEff!$A:$A,0))</f>
        <v/>
      </c>
      <c r="J57">
        <f>INDEX(P_HPcop!$B:$B,MATCH(A57,P_HPcop!$A:$A,0))</f>
        <v/>
      </c>
      <c r="K57">
        <f>C57*(63.28/I57)+D57*(79.8/0.84)+E57*H57+F57*(H57/J57)+G57*(1.1/0.65)</f>
        <v/>
      </c>
      <c r="L57">
        <f>C57/I57+D57/0.84+E57+F57/J57+G57/0.65</f>
        <v/>
      </c>
    </row>
    <row r="58">
      <c r="A58" t="inlineStr">
        <is>
          <t>TX</t>
        </is>
      </c>
      <c r="B58" t="inlineStr">
        <is>
          <t>US</t>
        </is>
      </c>
      <c r="C58" t="n">
        <v>0.533</v>
      </c>
      <c r="D58" t="n">
        <v>0.08599999999999999</v>
      </c>
      <c r="E58" t="n">
        <v>0.216</v>
      </c>
      <c r="F58" t="n">
        <v>0.146</v>
      </c>
      <c r="G58" t="n">
        <v>0.019</v>
      </c>
      <c r="H58">
        <f>INDEX(P_EF_Elec!$F:$F,MATCH(A58,P_EF_Elec!$A:$A,0))</f>
        <v/>
      </c>
      <c r="I58">
        <f>INDEX(P_GasEff!$B:$B,MATCH(A58,P_GasEff!$A:$A,0))</f>
        <v/>
      </c>
      <c r="J58">
        <f>INDEX(P_HPcop!$B:$B,MATCH(A58,P_HPcop!$A:$A,0))</f>
        <v/>
      </c>
      <c r="K58">
        <f>C58*(63.28/I58)+D58*(79.8/0.84)+E58*H58+F58*(H58/J58)+G58*(1.1/0.65)</f>
        <v/>
      </c>
      <c r="L58">
        <f>C58/I58+D58/0.84+E58+F58/J58+G58/0.65</f>
        <v/>
      </c>
    </row>
    <row r="59">
      <c r="A59" t="inlineStr">
        <is>
          <t>UT</t>
        </is>
      </c>
      <c r="B59" t="inlineStr">
        <is>
          <t>US</t>
        </is>
      </c>
      <c r="C59" t="n">
        <v>0.533</v>
      </c>
      <c r="D59" t="n">
        <v>0.08599999999999999</v>
      </c>
      <c r="E59" t="n">
        <v>0.216</v>
      </c>
      <c r="F59" t="n">
        <v>0.146</v>
      </c>
      <c r="G59" t="n">
        <v>0.019</v>
      </c>
      <c r="H59">
        <f>INDEX(P_EF_Elec!$F:$F,MATCH(A59,P_EF_Elec!$A:$A,0))</f>
        <v/>
      </c>
      <c r="I59">
        <f>INDEX(P_GasEff!$B:$B,MATCH(A59,P_GasEff!$A:$A,0))</f>
        <v/>
      </c>
      <c r="J59">
        <f>INDEX(P_HPcop!$B:$B,MATCH(A59,P_HPcop!$A:$A,0))</f>
        <v/>
      </c>
      <c r="K59">
        <f>C59*(63.28/I59)+D59*(79.8/0.84)+E59*H59+F59*(H59/J59)+G59*(1.1/0.65)</f>
        <v/>
      </c>
      <c r="L59">
        <f>C59/I59+D59/0.84+E59+F59/J59+G59/0.65</f>
        <v/>
      </c>
    </row>
    <row r="60">
      <c r="A60" t="inlineStr">
        <is>
          <t>VT</t>
        </is>
      </c>
      <c r="B60" t="inlineStr">
        <is>
          <t>US</t>
        </is>
      </c>
      <c r="C60" t="n">
        <v>0.533</v>
      </c>
      <c r="D60" t="n">
        <v>0.08599999999999999</v>
      </c>
      <c r="E60" t="n">
        <v>0.216</v>
      </c>
      <c r="F60" t="n">
        <v>0.146</v>
      </c>
      <c r="G60" t="n">
        <v>0.019</v>
      </c>
      <c r="H60">
        <f>INDEX(P_EF_Elec!$F:$F,MATCH(A60,P_EF_Elec!$A:$A,0))</f>
        <v/>
      </c>
      <c r="I60">
        <f>INDEX(P_GasEff!$B:$B,MATCH(A60,P_GasEff!$A:$A,0))</f>
        <v/>
      </c>
      <c r="J60">
        <f>INDEX(P_HPcop!$B:$B,MATCH(A60,P_HPcop!$A:$A,0))</f>
        <v/>
      </c>
      <c r="K60">
        <f>C60*(63.28/I60)+D60*(79.8/0.84)+E60*H60+F60*(H60/J60)+G60*(1.1/0.65)</f>
        <v/>
      </c>
      <c r="L60">
        <f>C60/I60+D60/0.84+E60+F60/J60+G60/0.65</f>
        <v/>
      </c>
    </row>
    <row r="61">
      <c r="A61" t="inlineStr">
        <is>
          <t>VA</t>
        </is>
      </c>
      <c r="B61" t="inlineStr">
        <is>
          <t>US</t>
        </is>
      </c>
      <c r="C61" t="n">
        <v>0.533</v>
      </c>
      <c r="D61" t="n">
        <v>0.08599999999999999</v>
      </c>
      <c r="E61" t="n">
        <v>0.216</v>
      </c>
      <c r="F61" t="n">
        <v>0.146</v>
      </c>
      <c r="G61" t="n">
        <v>0.019</v>
      </c>
      <c r="H61">
        <f>INDEX(P_EF_Elec!$F:$F,MATCH(A61,P_EF_Elec!$A:$A,0))</f>
        <v/>
      </c>
      <c r="I61">
        <f>INDEX(P_GasEff!$B:$B,MATCH(A61,P_GasEff!$A:$A,0))</f>
        <v/>
      </c>
      <c r="J61">
        <f>INDEX(P_HPcop!$B:$B,MATCH(A61,P_HPcop!$A:$A,0))</f>
        <v/>
      </c>
      <c r="K61">
        <f>C61*(63.28/I61)+D61*(79.8/0.84)+E61*H61+F61*(H61/J61)+G61*(1.1/0.65)</f>
        <v/>
      </c>
      <c r="L61">
        <f>C61/I61+D61/0.84+E61+F61/J61+G61/0.65</f>
        <v/>
      </c>
    </row>
    <row r="62">
      <c r="A62" t="inlineStr">
        <is>
          <t>WV</t>
        </is>
      </c>
      <c r="B62" t="inlineStr">
        <is>
          <t>US</t>
        </is>
      </c>
      <c r="C62" t="n">
        <v>0.533</v>
      </c>
      <c r="D62" t="n">
        <v>0.08599999999999999</v>
      </c>
      <c r="E62" t="n">
        <v>0.216</v>
      </c>
      <c r="F62" t="n">
        <v>0.146</v>
      </c>
      <c r="G62" t="n">
        <v>0.019</v>
      </c>
      <c r="H62">
        <f>INDEX(P_EF_Elec!$F:$F,MATCH(A62,P_EF_Elec!$A:$A,0))</f>
        <v/>
      </c>
      <c r="I62">
        <f>INDEX(P_GasEff!$B:$B,MATCH(A62,P_GasEff!$A:$A,0))</f>
        <v/>
      </c>
      <c r="J62">
        <f>INDEX(P_HPcop!$B:$B,MATCH(A62,P_HPcop!$A:$A,0))</f>
        <v/>
      </c>
      <c r="K62">
        <f>C62*(63.28/I62)+D62*(79.8/0.84)+E62*H62+F62*(H62/J62)+G62*(1.1/0.65)</f>
        <v/>
      </c>
      <c r="L62">
        <f>C62/I62+D62/0.84+E62+F62/J62+G62/0.65</f>
        <v/>
      </c>
    </row>
    <row r="63">
      <c r="A63" t="inlineStr">
        <is>
          <t>WI</t>
        </is>
      </c>
      <c r="B63" t="inlineStr">
        <is>
          <t>US</t>
        </is>
      </c>
      <c r="C63" t="n">
        <v>0.533</v>
      </c>
      <c r="D63" t="n">
        <v>0.08599999999999999</v>
      </c>
      <c r="E63" t="n">
        <v>0.216</v>
      </c>
      <c r="F63" t="n">
        <v>0.146</v>
      </c>
      <c r="G63" t="n">
        <v>0.019</v>
      </c>
      <c r="H63">
        <f>INDEX(P_EF_Elec!$F:$F,MATCH(A63,P_EF_Elec!$A:$A,0))</f>
        <v/>
      </c>
      <c r="I63">
        <f>INDEX(P_GasEff!$B:$B,MATCH(A63,P_GasEff!$A:$A,0))</f>
        <v/>
      </c>
      <c r="J63">
        <f>INDEX(P_HPcop!$B:$B,MATCH(A63,P_HPcop!$A:$A,0))</f>
        <v/>
      </c>
      <c r="K63">
        <f>C63*(63.28/I63)+D63*(79.8/0.84)+E63*H63+F63*(H63/J63)+G63*(1.1/0.65)</f>
        <v/>
      </c>
      <c r="L63">
        <f>C63/I63+D63/0.84+E63+F63/J63+G63/0.65</f>
        <v/>
      </c>
    </row>
    <row r="64">
      <c r="A64" t="inlineStr">
        <is>
          <t>WY</t>
        </is>
      </c>
      <c r="B64" t="inlineStr">
        <is>
          <t>US</t>
        </is>
      </c>
      <c r="C64" t="n">
        <v>0.533</v>
      </c>
      <c r="D64" t="n">
        <v>0.08599999999999999</v>
      </c>
      <c r="E64" t="n">
        <v>0.216</v>
      </c>
      <c r="F64" t="n">
        <v>0.146</v>
      </c>
      <c r="G64" t="n">
        <v>0.019</v>
      </c>
      <c r="H64">
        <f>INDEX(P_EF_Elec!$F:$F,MATCH(A64,P_EF_Elec!$A:$A,0))</f>
        <v/>
      </c>
      <c r="I64">
        <f>INDEX(P_GasEff!$B:$B,MATCH(A64,P_GasEff!$A:$A,0))</f>
        <v/>
      </c>
      <c r="J64">
        <f>INDEX(P_HPcop!$B:$B,MATCH(A64,P_HPcop!$A:$A,0))</f>
        <v/>
      </c>
      <c r="K64">
        <f>C64*(63.28/I64)+D64*(79.8/0.84)+E64*H64+F64*(H64/J64)+G64*(1.1/0.65)</f>
        <v/>
      </c>
      <c r="L64">
        <f>C64/I64+D64/0.84+E64+F64/J64+G64/0.65</f>
        <v/>
      </c>
    </row>
    <row r="65">
      <c r="A65" t="inlineStr">
        <is>
          <t>DC</t>
        </is>
      </c>
      <c r="B65" t="inlineStr">
        <is>
          <t>US</t>
        </is>
      </c>
      <c r="C65" t="n">
        <v>0.533</v>
      </c>
      <c r="D65" t="n">
        <v>0.08599999999999999</v>
      </c>
      <c r="E65" t="n">
        <v>0.216</v>
      </c>
      <c r="F65" t="n">
        <v>0.146</v>
      </c>
      <c r="G65" t="n">
        <v>0.019</v>
      </c>
      <c r="H65">
        <f>INDEX(P_EF_Elec!$F:$F,MATCH(A65,P_EF_Elec!$A:$A,0))</f>
        <v/>
      </c>
      <c r="I65">
        <f>INDEX(P_GasEff!$B:$B,MATCH(A65,P_GasEff!$A:$A,0))</f>
        <v/>
      </c>
      <c r="J65">
        <f>INDEX(P_HPcop!$B:$B,MATCH(A65,P_HPcop!$A:$A,0))</f>
        <v/>
      </c>
      <c r="K65">
        <f>C65*(63.28/I65)+D65*(79.8/0.84)+E65*H65+F65*(H65/J65)+G65*(1.1/0.65)</f>
        <v/>
      </c>
      <c r="L65">
        <f>C65/I65+D65/0.84+E65+F65/J65+G65/0.65</f>
        <v/>
      </c>
    </row>
    <row r="66">
      <c r="A66" t="inlineStr">
        <is>
          <t>PR</t>
        </is>
      </c>
      <c r="B66" t="inlineStr">
        <is>
          <t>US</t>
        </is>
      </c>
      <c r="C66" t="n">
        <v>0.02</v>
      </c>
      <c r="D66" t="n">
        <v>0.03</v>
      </c>
      <c r="E66" t="n">
        <v>0.9</v>
      </c>
      <c r="F66" t="n">
        <v>0.05</v>
      </c>
      <c r="G66" t="n">
        <v>0</v>
      </c>
      <c r="H66">
        <f>INDEX(P_EF_Elec!$F:$F,MATCH(A66,P_EF_Elec!$A:$A,0))</f>
        <v/>
      </c>
      <c r="I66">
        <f>INDEX(P_GasEff!$B:$B,MATCH(A66,P_GasEff!$A:$A,0))</f>
        <v/>
      </c>
      <c r="J66">
        <f>INDEX(P_HPcop!$B:$B,MATCH(A66,P_HPcop!$A:$A,0))</f>
        <v/>
      </c>
      <c r="K66">
        <f>C66*(63.28/I66)+D66*(79.8/0.84)+E66*H66+F66*(H66/J66)+G66*(1.1/0.65)</f>
        <v/>
      </c>
      <c r="L66">
        <f>C66/I66+D66/0.84+E66+F66/J66+G66/0.65</f>
        <v/>
      </c>
    </row>
    <row r="67">
      <c r="A67" t="inlineStr">
        <is>
          <t>VI</t>
        </is>
      </c>
      <c r="B67" t="inlineStr">
        <is>
          <t>US</t>
        </is>
      </c>
      <c r="C67" t="n">
        <v>0.02</v>
      </c>
      <c r="D67" t="n">
        <v>0.03</v>
      </c>
      <c r="E67" t="n">
        <v>0.9</v>
      </c>
      <c r="F67" t="n">
        <v>0.05</v>
      </c>
      <c r="G67" t="n">
        <v>0</v>
      </c>
      <c r="H67">
        <f>INDEX(P_EF_Elec!$F:$F,MATCH(A67,P_EF_Elec!$A:$A,0))</f>
        <v/>
      </c>
      <c r="I67">
        <f>INDEX(P_GasEff!$B:$B,MATCH(A67,P_GasEff!$A:$A,0))</f>
        <v/>
      </c>
      <c r="J67">
        <f>INDEX(P_HPcop!$B:$B,MATCH(A67,P_HPcop!$A:$A,0))</f>
        <v/>
      </c>
      <c r="K67">
        <f>C67*(63.28/I67)+D67*(79.8/0.84)+E67*H67+F67*(H67/J67)+G67*(1.1/0.65)</f>
        <v/>
      </c>
      <c r="L67">
        <f>C67/I67+D67/0.84+E67+F67/J67+G67/0.65</f>
        <v/>
      </c>
    </row>
    <row r="68">
      <c r="A68" t="inlineStr">
        <is>
          <t>Used when space-heating = "Don't know". Lifecycle factors. CA weights: NRCan Tables 27 &amp; 34 (2023). US weights: RECS 2020.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jurisdiction</t>
        </is>
      </c>
      <c r="B1" s="19" t="inlineStr">
        <is>
          <t>country</t>
        </is>
      </c>
      <c r="C1" s="19" t="inlineStr">
        <is>
          <t>w_gas</t>
        </is>
      </c>
      <c r="D1" s="19" t="inlineStr">
        <is>
          <t>w_electric</t>
        </is>
      </c>
      <c r="E1" s="19" t="inlineStr">
        <is>
          <t>w_oilprop</t>
        </is>
      </c>
      <c r="F1" s="19" t="inlineStr">
        <is>
          <t>w_hpwh</t>
        </is>
      </c>
      <c r="G1" s="19" t="inlineStr">
        <is>
          <t>grid_kg_GJ_lifecycle</t>
        </is>
      </c>
      <c r="H1" s="19" t="inlineStr">
        <is>
          <t>DK_EFperEff</t>
        </is>
      </c>
      <c r="I1" s="19" t="inlineStr">
        <is>
          <t>DK_energy_per_U</t>
        </is>
      </c>
    </row>
    <row r="2">
      <c r="A2" t="inlineStr">
        <is>
          <t>QC</t>
        </is>
      </c>
      <c r="B2" t="inlineStr">
        <is>
          <t>CA</t>
        </is>
      </c>
      <c r="C2" t="n">
        <v>0.49</v>
      </c>
      <c r="D2" t="n">
        <v>0.492</v>
      </c>
      <c r="E2" t="n">
        <v>0.018</v>
      </c>
      <c r="F2" t="n">
        <v>0</v>
      </c>
      <c r="G2">
        <f>INDEX(P_EF_Elec!$F:$F,MATCH(A2,P_EF_Elec!$A:$A,0))</f>
        <v/>
      </c>
      <c r="H2">
        <f>C2*(63.28/0.6)+D2*(G2/0.9)+E2*(79.8/0.59)+F2*(G2/2.5)</f>
        <v/>
      </c>
      <c r="I2">
        <f>C2/0.6+D2/0.9+E2/0.59+F2/2.5</f>
        <v/>
      </c>
    </row>
    <row r="3">
      <c r="A3" t="inlineStr">
        <is>
          <t>ON</t>
        </is>
      </c>
      <c r="B3" t="inlineStr">
        <is>
          <t>CA</t>
        </is>
      </c>
      <c r="C3" t="n">
        <v>0.49</v>
      </c>
      <c r="D3" t="n">
        <v>0.492</v>
      </c>
      <c r="E3" t="n">
        <v>0.018</v>
      </c>
      <c r="F3" t="n">
        <v>0</v>
      </c>
      <c r="G3">
        <f>INDEX(P_EF_Elec!$F:$F,MATCH(A3,P_EF_Elec!$A:$A,0))</f>
        <v/>
      </c>
      <c r="H3">
        <f>C3*(63.28/0.6)+D3*(G3/0.9)+E3*(79.8/0.59)+F3*(G3/2.5)</f>
        <v/>
      </c>
      <c r="I3">
        <f>C3/0.6+D3/0.9+E3/0.59+F3/2.5</f>
        <v/>
      </c>
    </row>
    <row r="4">
      <c r="A4" t="inlineStr">
        <is>
          <t>AB</t>
        </is>
      </c>
      <c r="B4" t="inlineStr">
        <is>
          <t>CA</t>
        </is>
      </c>
      <c r="C4" t="n">
        <v>0.49</v>
      </c>
      <c r="D4" t="n">
        <v>0.492</v>
      </c>
      <c r="E4" t="n">
        <v>0.018</v>
      </c>
      <c r="F4" t="n">
        <v>0</v>
      </c>
      <c r="G4">
        <f>INDEX(P_EF_Elec!$F:$F,MATCH(A4,P_EF_Elec!$A:$A,0))</f>
        <v/>
      </c>
      <c r="H4">
        <f>C4*(63.28/0.6)+D4*(G4/0.9)+E4*(79.8/0.59)+F4*(G4/2.5)</f>
        <v/>
      </c>
      <c r="I4">
        <f>C4/0.6+D4/0.9+E4/0.59+F4/2.5</f>
        <v/>
      </c>
    </row>
    <row r="5">
      <c r="A5" t="inlineStr">
        <is>
          <t>BC</t>
        </is>
      </c>
      <c r="B5" t="inlineStr">
        <is>
          <t>CA</t>
        </is>
      </c>
      <c r="C5" t="n">
        <v>0.49</v>
      </c>
      <c r="D5" t="n">
        <v>0.492</v>
      </c>
      <c r="E5" t="n">
        <v>0.018</v>
      </c>
      <c r="F5" t="n">
        <v>0</v>
      </c>
      <c r="G5">
        <f>INDEX(P_EF_Elec!$F:$F,MATCH(A5,P_EF_Elec!$A:$A,0))</f>
        <v/>
      </c>
      <c r="H5">
        <f>C5*(63.28/0.6)+D5*(G5/0.9)+E5*(79.8/0.59)+F5*(G5/2.5)</f>
        <v/>
      </c>
      <c r="I5">
        <f>C5/0.6+D5/0.9+E5/0.59+F5/2.5</f>
        <v/>
      </c>
    </row>
    <row r="6">
      <c r="A6" t="inlineStr">
        <is>
          <t>MB</t>
        </is>
      </c>
      <c r="B6" t="inlineStr">
        <is>
          <t>CA</t>
        </is>
      </c>
      <c r="C6" t="n">
        <v>0.49</v>
      </c>
      <c r="D6" t="n">
        <v>0.492</v>
      </c>
      <c r="E6" t="n">
        <v>0.018</v>
      </c>
      <c r="F6" t="n">
        <v>0</v>
      </c>
      <c r="G6">
        <f>INDEX(P_EF_Elec!$F:$F,MATCH(A6,P_EF_Elec!$A:$A,0))</f>
        <v/>
      </c>
      <c r="H6">
        <f>C6*(63.28/0.6)+D6*(G6/0.9)+E6*(79.8/0.59)+F6*(G6/2.5)</f>
        <v/>
      </c>
      <c r="I6">
        <f>C6/0.6+D6/0.9+E6/0.59+F6/2.5</f>
        <v/>
      </c>
    </row>
    <row r="7">
      <c r="A7" t="inlineStr">
        <is>
          <t>SK</t>
        </is>
      </c>
      <c r="B7" t="inlineStr">
        <is>
          <t>CA</t>
        </is>
      </c>
      <c r="C7" t="n">
        <v>0.49</v>
      </c>
      <c r="D7" t="n">
        <v>0.492</v>
      </c>
      <c r="E7" t="n">
        <v>0.018</v>
      </c>
      <c r="F7" t="n">
        <v>0</v>
      </c>
      <c r="G7">
        <f>INDEX(P_EF_Elec!$F:$F,MATCH(A7,P_EF_Elec!$A:$A,0))</f>
        <v/>
      </c>
      <c r="H7">
        <f>C7*(63.28/0.6)+D7*(G7/0.9)+E7*(79.8/0.59)+F7*(G7/2.5)</f>
        <v/>
      </c>
      <c r="I7">
        <f>C7/0.6+D7/0.9+E7/0.59+F7/2.5</f>
        <v/>
      </c>
    </row>
    <row r="8">
      <c r="A8" t="inlineStr">
        <is>
          <t>NS</t>
        </is>
      </c>
      <c r="B8" t="inlineStr">
        <is>
          <t>CA</t>
        </is>
      </c>
      <c r="C8" t="n">
        <v>0.49</v>
      </c>
      <c r="D8" t="n">
        <v>0.492</v>
      </c>
      <c r="E8" t="n">
        <v>0.018</v>
      </c>
      <c r="F8" t="n">
        <v>0</v>
      </c>
      <c r="G8">
        <f>INDEX(P_EF_Elec!$F:$F,MATCH(A8,P_EF_Elec!$A:$A,0))</f>
        <v/>
      </c>
      <c r="H8">
        <f>C8*(63.28/0.6)+D8*(G8/0.9)+E8*(79.8/0.59)+F8*(G8/2.5)</f>
        <v/>
      </c>
      <c r="I8">
        <f>C8/0.6+D8/0.9+E8/0.59+F8/2.5</f>
        <v/>
      </c>
    </row>
    <row r="9">
      <c r="A9" t="inlineStr">
        <is>
          <t>NB</t>
        </is>
      </c>
      <c r="B9" t="inlineStr">
        <is>
          <t>CA</t>
        </is>
      </c>
      <c r="C9" t="n">
        <v>0.49</v>
      </c>
      <c r="D9" t="n">
        <v>0.492</v>
      </c>
      <c r="E9" t="n">
        <v>0.018</v>
      </c>
      <c r="F9" t="n">
        <v>0</v>
      </c>
      <c r="G9">
        <f>INDEX(P_EF_Elec!$F:$F,MATCH(A9,P_EF_Elec!$A:$A,0))</f>
        <v/>
      </c>
      <c r="H9">
        <f>C9*(63.28/0.6)+D9*(G9/0.9)+E9*(79.8/0.59)+F9*(G9/2.5)</f>
        <v/>
      </c>
      <c r="I9">
        <f>C9/0.6+D9/0.9+E9/0.59+F9/2.5</f>
        <v/>
      </c>
    </row>
    <row r="10">
      <c r="A10" t="inlineStr">
        <is>
          <t>NL</t>
        </is>
      </c>
      <c r="B10" t="inlineStr">
        <is>
          <t>CA</t>
        </is>
      </c>
      <c r="C10" t="n">
        <v>0.49</v>
      </c>
      <c r="D10" t="n">
        <v>0.492</v>
      </c>
      <c r="E10" t="n">
        <v>0.018</v>
      </c>
      <c r="F10" t="n">
        <v>0</v>
      </c>
      <c r="G10">
        <f>INDEX(P_EF_Elec!$F:$F,MATCH(A10,P_EF_Elec!$A:$A,0))</f>
        <v/>
      </c>
      <c r="H10">
        <f>C10*(63.28/0.6)+D10*(G10/0.9)+E10*(79.8/0.59)+F10*(G10/2.5)</f>
        <v/>
      </c>
      <c r="I10">
        <f>C10/0.6+D10/0.9+E10/0.59+F10/2.5</f>
        <v/>
      </c>
    </row>
    <row r="11">
      <c r="A11" t="inlineStr">
        <is>
          <t>PE</t>
        </is>
      </c>
      <c r="B11" t="inlineStr">
        <is>
          <t>CA</t>
        </is>
      </c>
      <c r="C11" t="n">
        <v>0.49</v>
      </c>
      <c r="D11" t="n">
        <v>0.492</v>
      </c>
      <c r="E11" t="n">
        <v>0.018</v>
      </c>
      <c r="F11" t="n">
        <v>0</v>
      </c>
      <c r="G11">
        <f>INDEX(P_EF_Elec!$F:$F,MATCH(A11,P_EF_Elec!$A:$A,0))</f>
        <v/>
      </c>
      <c r="H11">
        <f>C11*(63.28/0.6)+D11*(G11/0.9)+E11*(79.8/0.59)+F11*(G11/2.5)</f>
        <v/>
      </c>
      <c r="I11">
        <f>C11/0.6+D11/0.9+E11/0.59+F11/2.5</f>
        <v/>
      </c>
    </row>
    <row r="12">
      <c r="A12" t="inlineStr">
        <is>
          <t>YT</t>
        </is>
      </c>
      <c r="B12" t="inlineStr">
        <is>
          <t>CA</t>
        </is>
      </c>
      <c r="C12" t="n">
        <v>0.49</v>
      </c>
      <c r="D12" t="n">
        <v>0.492</v>
      </c>
      <c r="E12" t="n">
        <v>0.018</v>
      </c>
      <c r="F12" t="n">
        <v>0</v>
      </c>
      <c r="G12">
        <f>INDEX(P_EF_Elec!$F:$F,MATCH(A12,P_EF_Elec!$A:$A,0))</f>
        <v/>
      </c>
      <c r="H12">
        <f>C12*(63.28/0.6)+D12*(G12/0.9)+E12*(79.8/0.59)+F12*(G12/2.5)</f>
        <v/>
      </c>
      <c r="I12">
        <f>C12/0.6+D12/0.9+E12/0.59+F12/2.5</f>
        <v/>
      </c>
    </row>
    <row r="13">
      <c r="A13" t="inlineStr">
        <is>
          <t>NT</t>
        </is>
      </c>
      <c r="B13" t="inlineStr">
        <is>
          <t>CA</t>
        </is>
      </c>
      <c r="C13" t="n">
        <v>0.49</v>
      </c>
      <c r="D13" t="n">
        <v>0.492</v>
      </c>
      <c r="E13" t="n">
        <v>0.018</v>
      </c>
      <c r="F13" t="n">
        <v>0</v>
      </c>
      <c r="G13">
        <f>INDEX(P_EF_Elec!$F:$F,MATCH(A13,P_EF_Elec!$A:$A,0))</f>
        <v/>
      </c>
      <c r="H13">
        <f>C13*(63.28/0.6)+D13*(G13/0.9)+E13*(79.8/0.59)+F13*(G13/2.5)</f>
        <v/>
      </c>
      <c r="I13">
        <f>C13/0.6+D13/0.9+E13/0.59+F13/2.5</f>
        <v/>
      </c>
    </row>
    <row r="14">
      <c r="A14" t="inlineStr">
        <is>
          <t>NU</t>
        </is>
      </c>
      <c r="B14" t="inlineStr">
        <is>
          <t>CA</t>
        </is>
      </c>
      <c r="C14" t="n">
        <v>0.49</v>
      </c>
      <c r="D14" t="n">
        <v>0.492</v>
      </c>
      <c r="E14" t="n">
        <v>0.018</v>
      </c>
      <c r="F14" t="n">
        <v>0</v>
      </c>
      <c r="G14">
        <f>INDEX(P_EF_Elec!$F:$F,MATCH(A14,P_EF_Elec!$A:$A,0))</f>
        <v/>
      </c>
      <c r="H14">
        <f>C14*(63.28/0.6)+D14*(G14/0.9)+E14*(79.8/0.59)+F14*(G14/2.5)</f>
        <v/>
      </c>
      <c r="I14">
        <f>C14/0.6+D14/0.9+E14/0.59+F14/2.5</f>
        <v/>
      </c>
    </row>
    <row r="15">
      <c r="A15" t="inlineStr">
        <is>
          <t>CO</t>
        </is>
      </c>
      <c r="B15" t="inlineStr">
        <is>
          <t>US</t>
        </is>
      </c>
      <c r="C15" t="n">
        <v>0.482</v>
      </c>
      <c r="D15" t="n">
        <v>0.463</v>
      </c>
      <c r="E15" t="n">
        <v>0.055</v>
      </c>
      <c r="F15" t="n">
        <v>0</v>
      </c>
      <c r="G15">
        <f>INDEX(P_EF_Elec!$F:$F,MATCH(A15,P_EF_Elec!$A:$A,0))</f>
        <v/>
      </c>
      <c r="H15">
        <f>C15*(63.28/0.6)+D15*(G15/0.9)+E15*(79.8/0.59)+F15*(G15/2.5)</f>
        <v/>
      </c>
      <c r="I15">
        <f>C15/0.6+D15/0.9+E15/0.59+F15/2.5</f>
        <v/>
      </c>
    </row>
    <row r="16">
      <c r="A16" t="inlineStr">
        <is>
          <t>MI</t>
        </is>
      </c>
      <c r="B16" t="inlineStr">
        <is>
          <t>US</t>
        </is>
      </c>
      <c r="C16" t="n">
        <v>0.482</v>
      </c>
      <c r="D16" t="n">
        <v>0.463</v>
      </c>
      <c r="E16" t="n">
        <v>0.055</v>
      </c>
      <c r="F16" t="n">
        <v>0</v>
      </c>
      <c r="G16">
        <f>INDEX(P_EF_Elec!$F:$F,MATCH(A16,P_EF_Elec!$A:$A,0))</f>
        <v/>
      </c>
      <c r="H16">
        <f>C16*(63.28/0.6)+D16*(G16/0.9)+E16*(79.8/0.59)+F16*(G16/2.5)</f>
        <v/>
      </c>
      <c r="I16">
        <f>C16/0.6+D16/0.9+E16/0.59+F16/2.5</f>
        <v/>
      </c>
    </row>
    <row r="17">
      <c r="A17" t="inlineStr">
        <is>
          <t>NY</t>
        </is>
      </c>
      <c r="B17" t="inlineStr">
        <is>
          <t>US</t>
        </is>
      </c>
      <c r="C17" t="n">
        <v>0.482</v>
      </c>
      <c r="D17" t="n">
        <v>0.463</v>
      </c>
      <c r="E17" t="n">
        <v>0.055</v>
      </c>
      <c r="F17" t="n">
        <v>0</v>
      </c>
      <c r="G17">
        <f>INDEX(P_EF_Elec!$F:$F,MATCH(A17,P_EF_Elec!$A:$A,0))</f>
        <v/>
      </c>
      <c r="H17">
        <f>C17*(63.28/0.6)+D17*(G17/0.9)+E17*(79.8/0.59)+F17*(G17/2.5)</f>
        <v/>
      </c>
      <c r="I17">
        <f>C17/0.6+D17/0.9+E17/0.59+F17/2.5</f>
        <v/>
      </c>
    </row>
    <row r="18">
      <c r="A18" t="inlineStr">
        <is>
          <t>WA</t>
        </is>
      </c>
      <c r="B18" t="inlineStr">
        <is>
          <t>US</t>
        </is>
      </c>
      <c r="C18" t="n">
        <v>0.482</v>
      </c>
      <c r="D18" t="n">
        <v>0.463</v>
      </c>
      <c r="E18" t="n">
        <v>0.055</v>
      </c>
      <c r="F18" t="n">
        <v>0</v>
      </c>
      <c r="G18">
        <f>INDEX(P_EF_Elec!$F:$F,MATCH(A18,P_EF_Elec!$A:$A,0))</f>
        <v/>
      </c>
      <c r="H18">
        <f>C18*(63.28/0.6)+D18*(G18/0.9)+E18*(79.8/0.59)+F18*(G18/2.5)</f>
        <v/>
      </c>
      <c r="I18">
        <f>C18/0.6+D18/0.9+E18/0.59+F18/2.5</f>
        <v/>
      </c>
    </row>
    <row r="19">
      <c r="A19" t="inlineStr">
        <is>
          <t>AL</t>
        </is>
      </c>
      <c r="B19" t="inlineStr">
        <is>
          <t>US</t>
        </is>
      </c>
      <c r="C19" t="n">
        <v>0.482</v>
      </c>
      <c r="D19" t="n">
        <v>0.463</v>
      </c>
      <c r="E19" t="n">
        <v>0.055</v>
      </c>
      <c r="F19" t="n">
        <v>0</v>
      </c>
      <c r="G19">
        <f>INDEX(P_EF_Elec!$F:$F,MATCH(A19,P_EF_Elec!$A:$A,0))</f>
        <v/>
      </c>
      <c r="H19">
        <f>C19*(63.28/0.6)+D19*(G19/0.9)+E19*(79.8/0.59)+F19*(G19/2.5)</f>
        <v/>
      </c>
      <c r="I19">
        <f>C19/0.6+D19/0.9+E19/0.59+F19/2.5</f>
        <v/>
      </c>
    </row>
    <row r="20">
      <c r="A20" t="inlineStr">
        <is>
          <t>AK</t>
        </is>
      </c>
      <c r="B20" t="inlineStr">
        <is>
          <t>US</t>
        </is>
      </c>
      <c r="C20" t="n">
        <v>0.482</v>
      </c>
      <c r="D20" t="n">
        <v>0.463</v>
      </c>
      <c r="E20" t="n">
        <v>0.055</v>
      </c>
      <c r="F20" t="n">
        <v>0</v>
      </c>
      <c r="G20">
        <f>INDEX(P_EF_Elec!$F:$F,MATCH(A20,P_EF_Elec!$A:$A,0))</f>
        <v/>
      </c>
      <c r="H20">
        <f>C20*(63.28/0.6)+D20*(G20/0.9)+E20*(79.8/0.59)+F20*(G20/2.5)</f>
        <v/>
      </c>
      <c r="I20">
        <f>C20/0.6+D20/0.9+E20/0.59+F20/2.5</f>
        <v/>
      </c>
    </row>
    <row r="21">
      <c r="A21" t="inlineStr">
        <is>
          <t>AZ</t>
        </is>
      </c>
      <c r="B21" t="inlineStr">
        <is>
          <t>US</t>
        </is>
      </c>
      <c r="C21" t="n">
        <v>0.482</v>
      </c>
      <c r="D21" t="n">
        <v>0.463</v>
      </c>
      <c r="E21" t="n">
        <v>0.055</v>
      </c>
      <c r="F21" t="n">
        <v>0</v>
      </c>
      <c r="G21">
        <f>INDEX(P_EF_Elec!$F:$F,MATCH(A21,P_EF_Elec!$A:$A,0))</f>
        <v/>
      </c>
      <c r="H21">
        <f>C21*(63.28/0.6)+D21*(G21/0.9)+E21*(79.8/0.59)+F21*(G21/2.5)</f>
        <v/>
      </c>
      <c r="I21">
        <f>C21/0.6+D21/0.9+E21/0.59+F21/2.5</f>
        <v/>
      </c>
    </row>
    <row r="22">
      <c r="A22" t="inlineStr">
        <is>
          <t>AR</t>
        </is>
      </c>
      <c r="B22" t="inlineStr">
        <is>
          <t>US</t>
        </is>
      </c>
      <c r="C22" t="n">
        <v>0.482</v>
      </c>
      <c r="D22" t="n">
        <v>0.463</v>
      </c>
      <c r="E22" t="n">
        <v>0.055</v>
      </c>
      <c r="F22" t="n">
        <v>0</v>
      </c>
      <c r="G22">
        <f>INDEX(P_EF_Elec!$F:$F,MATCH(A22,P_EF_Elec!$A:$A,0))</f>
        <v/>
      </c>
      <c r="H22">
        <f>C22*(63.28/0.6)+D22*(G22/0.9)+E22*(79.8/0.59)+F22*(G22/2.5)</f>
        <v/>
      </c>
      <c r="I22">
        <f>C22/0.6+D22/0.9+E22/0.59+F22/2.5</f>
        <v/>
      </c>
    </row>
    <row r="23">
      <c r="A23" t="inlineStr">
        <is>
          <t>CA</t>
        </is>
      </c>
      <c r="B23" t="inlineStr">
        <is>
          <t>US</t>
        </is>
      </c>
      <c r="C23" t="n">
        <v>0.482</v>
      </c>
      <c r="D23" t="n">
        <v>0.463</v>
      </c>
      <c r="E23" t="n">
        <v>0.055</v>
      </c>
      <c r="F23" t="n">
        <v>0</v>
      </c>
      <c r="G23">
        <f>INDEX(P_EF_Elec!$F:$F,MATCH(A23,P_EF_Elec!$A:$A,0))</f>
        <v/>
      </c>
      <c r="H23">
        <f>C23*(63.28/0.6)+D23*(G23/0.9)+E23*(79.8/0.59)+F23*(G23/2.5)</f>
        <v/>
      </c>
      <c r="I23">
        <f>C23/0.6+D23/0.9+E23/0.59+F23/2.5</f>
        <v/>
      </c>
    </row>
    <row r="24">
      <c r="A24" t="inlineStr">
        <is>
          <t>CT</t>
        </is>
      </c>
      <c r="B24" t="inlineStr">
        <is>
          <t>US</t>
        </is>
      </c>
      <c r="C24" t="n">
        <v>0.482</v>
      </c>
      <c r="D24" t="n">
        <v>0.463</v>
      </c>
      <c r="E24" t="n">
        <v>0.055</v>
      </c>
      <c r="F24" t="n">
        <v>0</v>
      </c>
      <c r="G24">
        <f>INDEX(P_EF_Elec!$F:$F,MATCH(A24,P_EF_Elec!$A:$A,0))</f>
        <v/>
      </c>
      <c r="H24">
        <f>C24*(63.28/0.6)+D24*(G24/0.9)+E24*(79.8/0.59)+F24*(G24/2.5)</f>
        <v/>
      </c>
      <c r="I24">
        <f>C24/0.6+D24/0.9+E24/0.59+F24/2.5</f>
        <v/>
      </c>
    </row>
    <row r="25">
      <c r="A25" t="inlineStr">
        <is>
          <t>DE</t>
        </is>
      </c>
      <c r="B25" t="inlineStr">
        <is>
          <t>US</t>
        </is>
      </c>
      <c r="C25" t="n">
        <v>0.482</v>
      </c>
      <c r="D25" t="n">
        <v>0.463</v>
      </c>
      <c r="E25" t="n">
        <v>0.055</v>
      </c>
      <c r="F25" t="n">
        <v>0</v>
      </c>
      <c r="G25">
        <f>INDEX(P_EF_Elec!$F:$F,MATCH(A25,P_EF_Elec!$A:$A,0))</f>
        <v/>
      </c>
      <c r="H25">
        <f>C25*(63.28/0.6)+D25*(G25/0.9)+E25*(79.8/0.59)+F25*(G25/2.5)</f>
        <v/>
      </c>
      <c r="I25">
        <f>C25/0.6+D25/0.9+E25/0.59+F25/2.5</f>
        <v/>
      </c>
    </row>
    <row r="26">
      <c r="A26" t="inlineStr">
        <is>
          <t>FL</t>
        </is>
      </c>
      <c r="B26" t="inlineStr">
        <is>
          <t>US</t>
        </is>
      </c>
      <c r="C26" t="n">
        <v>0.482</v>
      </c>
      <c r="D26" t="n">
        <v>0.463</v>
      </c>
      <c r="E26" t="n">
        <v>0.055</v>
      </c>
      <c r="F26" t="n">
        <v>0</v>
      </c>
      <c r="G26">
        <f>INDEX(P_EF_Elec!$F:$F,MATCH(A26,P_EF_Elec!$A:$A,0))</f>
        <v/>
      </c>
      <c r="H26">
        <f>C26*(63.28/0.6)+D26*(G26/0.9)+E26*(79.8/0.59)+F26*(G26/2.5)</f>
        <v/>
      </c>
      <c r="I26">
        <f>C26/0.6+D26/0.9+E26/0.59+F26/2.5</f>
        <v/>
      </c>
    </row>
    <row r="27">
      <c r="A27" t="inlineStr">
        <is>
          <t>GA</t>
        </is>
      </c>
      <c r="B27" t="inlineStr">
        <is>
          <t>US</t>
        </is>
      </c>
      <c r="C27" t="n">
        <v>0.482</v>
      </c>
      <c r="D27" t="n">
        <v>0.463</v>
      </c>
      <c r="E27" t="n">
        <v>0.055</v>
      </c>
      <c r="F27" t="n">
        <v>0</v>
      </c>
      <c r="G27">
        <f>INDEX(P_EF_Elec!$F:$F,MATCH(A27,P_EF_Elec!$A:$A,0))</f>
        <v/>
      </c>
      <c r="H27">
        <f>C27*(63.28/0.6)+D27*(G27/0.9)+E27*(79.8/0.59)+F27*(G27/2.5)</f>
        <v/>
      </c>
      <c r="I27">
        <f>C27/0.6+D27/0.9+E27/0.59+F27/2.5</f>
        <v/>
      </c>
    </row>
    <row r="28">
      <c r="A28" t="inlineStr">
        <is>
          <t>HI</t>
        </is>
      </c>
      <c r="B28" t="inlineStr">
        <is>
          <t>US</t>
        </is>
      </c>
      <c r="C28" t="n">
        <v>0.482</v>
      </c>
      <c r="D28" t="n">
        <v>0.463</v>
      </c>
      <c r="E28" t="n">
        <v>0.055</v>
      </c>
      <c r="F28" t="n">
        <v>0</v>
      </c>
      <c r="G28">
        <f>INDEX(P_EF_Elec!$F:$F,MATCH(A28,P_EF_Elec!$A:$A,0))</f>
        <v/>
      </c>
      <c r="H28">
        <f>C28*(63.28/0.6)+D28*(G28/0.9)+E28*(79.8/0.59)+F28*(G28/2.5)</f>
        <v/>
      </c>
      <c r="I28">
        <f>C28/0.6+D28/0.9+E28/0.59+F28/2.5</f>
        <v/>
      </c>
    </row>
    <row r="29">
      <c r="A29" t="inlineStr">
        <is>
          <t>ID</t>
        </is>
      </c>
      <c r="B29" t="inlineStr">
        <is>
          <t>US</t>
        </is>
      </c>
      <c r="C29" t="n">
        <v>0.482</v>
      </c>
      <c r="D29" t="n">
        <v>0.463</v>
      </c>
      <c r="E29" t="n">
        <v>0.055</v>
      </c>
      <c r="F29" t="n">
        <v>0</v>
      </c>
      <c r="G29">
        <f>INDEX(P_EF_Elec!$F:$F,MATCH(A29,P_EF_Elec!$A:$A,0))</f>
        <v/>
      </c>
      <c r="H29">
        <f>C29*(63.28/0.6)+D29*(G29/0.9)+E29*(79.8/0.59)+F29*(G29/2.5)</f>
        <v/>
      </c>
      <c r="I29">
        <f>C29/0.6+D29/0.9+E29/0.59+F29/2.5</f>
        <v/>
      </c>
    </row>
    <row r="30">
      <c r="A30" t="inlineStr">
        <is>
          <t>IL</t>
        </is>
      </c>
      <c r="B30" t="inlineStr">
        <is>
          <t>US</t>
        </is>
      </c>
      <c r="C30" t="n">
        <v>0.482</v>
      </c>
      <c r="D30" t="n">
        <v>0.463</v>
      </c>
      <c r="E30" t="n">
        <v>0.055</v>
      </c>
      <c r="F30" t="n">
        <v>0</v>
      </c>
      <c r="G30">
        <f>INDEX(P_EF_Elec!$F:$F,MATCH(A30,P_EF_Elec!$A:$A,0))</f>
        <v/>
      </c>
      <c r="H30">
        <f>C30*(63.28/0.6)+D30*(G30/0.9)+E30*(79.8/0.59)+F30*(G30/2.5)</f>
        <v/>
      </c>
      <c r="I30">
        <f>C30/0.6+D30/0.9+E30/0.59+F30/2.5</f>
        <v/>
      </c>
    </row>
    <row r="31">
      <c r="A31" t="inlineStr">
        <is>
          <t>IN</t>
        </is>
      </c>
      <c r="B31" t="inlineStr">
        <is>
          <t>US</t>
        </is>
      </c>
      <c r="C31" t="n">
        <v>0.482</v>
      </c>
      <c r="D31" t="n">
        <v>0.463</v>
      </c>
      <c r="E31" t="n">
        <v>0.055</v>
      </c>
      <c r="F31" t="n">
        <v>0</v>
      </c>
      <c r="G31">
        <f>INDEX(P_EF_Elec!$F:$F,MATCH(A31,P_EF_Elec!$A:$A,0))</f>
        <v/>
      </c>
      <c r="H31">
        <f>C31*(63.28/0.6)+D31*(G31/0.9)+E31*(79.8/0.59)+F31*(G31/2.5)</f>
        <v/>
      </c>
      <c r="I31">
        <f>C31/0.6+D31/0.9+E31/0.59+F31/2.5</f>
        <v/>
      </c>
    </row>
    <row r="32">
      <c r="A32" t="inlineStr">
        <is>
          <t>IA</t>
        </is>
      </c>
      <c r="B32" t="inlineStr">
        <is>
          <t>US</t>
        </is>
      </c>
      <c r="C32" t="n">
        <v>0.482</v>
      </c>
      <c r="D32" t="n">
        <v>0.463</v>
      </c>
      <c r="E32" t="n">
        <v>0.055</v>
      </c>
      <c r="F32" t="n">
        <v>0</v>
      </c>
      <c r="G32">
        <f>INDEX(P_EF_Elec!$F:$F,MATCH(A32,P_EF_Elec!$A:$A,0))</f>
        <v/>
      </c>
      <c r="H32">
        <f>C32*(63.28/0.6)+D32*(G32/0.9)+E32*(79.8/0.59)+F32*(G32/2.5)</f>
        <v/>
      </c>
      <c r="I32">
        <f>C32/0.6+D32/0.9+E32/0.59+F32/2.5</f>
        <v/>
      </c>
    </row>
    <row r="33">
      <c r="A33" t="inlineStr">
        <is>
          <t>KS</t>
        </is>
      </c>
      <c r="B33" t="inlineStr">
        <is>
          <t>US</t>
        </is>
      </c>
      <c r="C33" t="n">
        <v>0.482</v>
      </c>
      <c r="D33" t="n">
        <v>0.463</v>
      </c>
      <c r="E33" t="n">
        <v>0.055</v>
      </c>
      <c r="F33" t="n">
        <v>0</v>
      </c>
      <c r="G33">
        <f>INDEX(P_EF_Elec!$F:$F,MATCH(A33,P_EF_Elec!$A:$A,0))</f>
        <v/>
      </c>
      <c r="H33">
        <f>C33*(63.28/0.6)+D33*(G33/0.9)+E33*(79.8/0.59)+F33*(G33/2.5)</f>
        <v/>
      </c>
      <c r="I33">
        <f>C33/0.6+D33/0.9+E33/0.59+F33/2.5</f>
        <v/>
      </c>
    </row>
    <row r="34">
      <c r="A34" t="inlineStr">
        <is>
          <t>KY</t>
        </is>
      </c>
      <c r="B34" t="inlineStr">
        <is>
          <t>US</t>
        </is>
      </c>
      <c r="C34" t="n">
        <v>0.482</v>
      </c>
      <c r="D34" t="n">
        <v>0.463</v>
      </c>
      <c r="E34" t="n">
        <v>0.055</v>
      </c>
      <c r="F34" t="n">
        <v>0</v>
      </c>
      <c r="G34">
        <f>INDEX(P_EF_Elec!$F:$F,MATCH(A34,P_EF_Elec!$A:$A,0))</f>
        <v/>
      </c>
      <c r="H34">
        <f>C34*(63.28/0.6)+D34*(G34/0.9)+E34*(79.8/0.59)+F34*(G34/2.5)</f>
        <v/>
      </c>
      <c r="I34">
        <f>C34/0.6+D34/0.9+E34/0.59+F34/2.5</f>
        <v/>
      </c>
    </row>
    <row r="35">
      <c r="A35" t="inlineStr">
        <is>
          <t>LA</t>
        </is>
      </c>
      <c r="B35" t="inlineStr">
        <is>
          <t>US</t>
        </is>
      </c>
      <c r="C35" t="n">
        <v>0.482</v>
      </c>
      <c r="D35" t="n">
        <v>0.463</v>
      </c>
      <c r="E35" t="n">
        <v>0.055</v>
      </c>
      <c r="F35" t="n">
        <v>0</v>
      </c>
      <c r="G35">
        <f>INDEX(P_EF_Elec!$F:$F,MATCH(A35,P_EF_Elec!$A:$A,0))</f>
        <v/>
      </c>
      <c r="H35">
        <f>C35*(63.28/0.6)+D35*(G35/0.9)+E35*(79.8/0.59)+F35*(G35/2.5)</f>
        <v/>
      </c>
      <c r="I35">
        <f>C35/0.6+D35/0.9+E35/0.59+F35/2.5</f>
        <v/>
      </c>
    </row>
    <row r="36">
      <c r="A36" t="inlineStr">
        <is>
          <t>ME</t>
        </is>
      </c>
      <c r="B36" t="inlineStr">
        <is>
          <t>US</t>
        </is>
      </c>
      <c r="C36" t="n">
        <v>0.482</v>
      </c>
      <c r="D36" t="n">
        <v>0.463</v>
      </c>
      <c r="E36" t="n">
        <v>0.055</v>
      </c>
      <c r="F36" t="n">
        <v>0</v>
      </c>
      <c r="G36">
        <f>INDEX(P_EF_Elec!$F:$F,MATCH(A36,P_EF_Elec!$A:$A,0))</f>
        <v/>
      </c>
      <c r="H36">
        <f>C36*(63.28/0.6)+D36*(G36/0.9)+E36*(79.8/0.59)+F36*(G36/2.5)</f>
        <v/>
      </c>
      <c r="I36">
        <f>C36/0.6+D36/0.9+E36/0.59+F36/2.5</f>
        <v/>
      </c>
    </row>
    <row r="37">
      <c r="A37" t="inlineStr">
        <is>
          <t>MD</t>
        </is>
      </c>
      <c r="B37" t="inlineStr">
        <is>
          <t>US</t>
        </is>
      </c>
      <c r="C37" t="n">
        <v>0.482</v>
      </c>
      <c r="D37" t="n">
        <v>0.463</v>
      </c>
      <c r="E37" t="n">
        <v>0.055</v>
      </c>
      <c r="F37" t="n">
        <v>0</v>
      </c>
      <c r="G37">
        <f>INDEX(P_EF_Elec!$F:$F,MATCH(A37,P_EF_Elec!$A:$A,0))</f>
        <v/>
      </c>
      <c r="H37">
        <f>C37*(63.28/0.6)+D37*(G37/0.9)+E37*(79.8/0.59)+F37*(G37/2.5)</f>
        <v/>
      </c>
      <c r="I37">
        <f>C37/0.6+D37/0.9+E37/0.59+F37/2.5</f>
        <v/>
      </c>
    </row>
    <row r="38">
      <c r="A38" t="inlineStr">
        <is>
          <t>MA</t>
        </is>
      </c>
      <c r="B38" t="inlineStr">
        <is>
          <t>US</t>
        </is>
      </c>
      <c r="C38" t="n">
        <v>0.482</v>
      </c>
      <c r="D38" t="n">
        <v>0.463</v>
      </c>
      <c r="E38" t="n">
        <v>0.055</v>
      </c>
      <c r="F38" t="n">
        <v>0</v>
      </c>
      <c r="G38">
        <f>INDEX(P_EF_Elec!$F:$F,MATCH(A38,P_EF_Elec!$A:$A,0))</f>
        <v/>
      </c>
      <c r="H38">
        <f>C38*(63.28/0.6)+D38*(G38/0.9)+E38*(79.8/0.59)+F38*(G38/2.5)</f>
        <v/>
      </c>
      <c r="I38">
        <f>C38/0.6+D38/0.9+E38/0.59+F38/2.5</f>
        <v/>
      </c>
    </row>
    <row r="39">
      <c r="A39" t="inlineStr">
        <is>
          <t>MN</t>
        </is>
      </c>
      <c r="B39" t="inlineStr">
        <is>
          <t>US</t>
        </is>
      </c>
      <c r="C39" t="n">
        <v>0.482</v>
      </c>
      <c r="D39" t="n">
        <v>0.463</v>
      </c>
      <c r="E39" t="n">
        <v>0.055</v>
      </c>
      <c r="F39" t="n">
        <v>0</v>
      </c>
      <c r="G39">
        <f>INDEX(P_EF_Elec!$F:$F,MATCH(A39,P_EF_Elec!$A:$A,0))</f>
        <v/>
      </c>
      <c r="H39">
        <f>C39*(63.28/0.6)+D39*(G39/0.9)+E39*(79.8/0.59)+F39*(G39/2.5)</f>
        <v/>
      </c>
      <c r="I39">
        <f>C39/0.6+D39/0.9+E39/0.59+F39/2.5</f>
        <v/>
      </c>
    </row>
    <row r="40">
      <c r="A40" t="inlineStr">
        <is>
          <t>MS</t>
        </is>
      </c>
      <c r="B40" t="inlineStr">
        <is>
          <t>US</t>
        </is>
      </c>
      <c r="C40" t="n">
        <v>0.482</v>
      </c>
      <c r="D40" t="n">
        <v>0.463</v>
      </c>
      <c r="E40" t="n">
        <v>0.055</v>
      </c>
      <c r="F40" t="n">
        <v>0</v>
      </c>
      <c r="G40">
        <f>INDEX(P_EF_Elec!$F:$F,MATCH(A40,P_EF_Elec!$A:$A,0))</f>
        <v/>
      </c>
      <c r="H40">
        <f>C40*(63.28/0.6)+D40*(G40/0.9)+E40*(79.8/0.59)+F40*(G40/2.5)</f>
        <v/>
      </c>
      <c r="I40">
        <f>C40/0.6+D40/0.9+E40/0.59+F40/2.5</f>
        <v/>
      </c>
    </row>
    <row r="41">
      <c r="A41" t="inlineStr">
        <is>
          <t>MO</t>
        </is>
      </c>
      <c r="B41" t="inlineStr">
        <is>
          <t>US</t>
        </is>
      </c>
      <c r="C41" t="n">
        <v>0.482</v>
      </c>
      <c r="D41" t="n">
        <v>0.463</v>
      </c>
      <c r="E41" t="n">
        <v>0.055</v>
      </c>
      <c r="F41" t="n">
        <v>0</v>
      </c>
      <c r="G41">
        <f>INDEX(P_EF_Elec!$F:$F,MATCH(A41,P_EF_Elec!$A:$A,0))</f>
        <v/>
      </c>
      <c r="H41">
        <f>C41*(63.28/0.6)+D41*(G41/0.9)+E41*(79.8/0.59)+F41*(G41/2.5)</f>
        <v/>
      </c>
      <c r="I41">
        <f>C41/0.6+D41/0.9+E41/0.59+F41/2.5</f>
        <v/>
      </c>
    </row>
    <row r="42">
      <c r="A42" t="inlineStr">
        <is>
          <t>MT</t>
        </is>
      </c>
      <c r="B42" t="inlineStr">
        <is>
          <t>US</t>
        </is>
      </c>
      <c r="C42" t="n">
        <v>0.482</v>
      </c>
      <c r="D42" t="n">
        <v>0.463</v>
      </c>
      <c r="E42" t="n">
        <v>0.055</v>
      </c>
      <c r="F42" t="n">
        <v>0</v>
      </c>
      <c r="G42">
        <f>INDEX(P_EF_Elec!$F:$F,MATCH(A42,P_EF_Elec!$A:$A,0))</f>
        <v/>
      </c>
      <c r="H42">
        <f>C42*(63.28/0.6)+D42*(G42/0.9)+E42*(79.8/0.59)+F42*(G42/2.5)</f>
        <v/>
      </c>
      <c r="I42">
        <f>C42/0.6+D42/0.9+E42/0.59+F42/2.5</f>
        <v/>
      </c>
    </row>
    <row r="43">
      <c r="A43" t="inlineStr">
        <is>
          <t>NE</t>
        </is>
      </c>
      <c r="B43" t="inlineStr">
        <is>
          <t>US</t>
        </is>
      </c>
      <c r="C43" t="n">
        <v>0.482</v>
      </c>
      <c r="D43" t="n">
        <v>0.463</v>
      </c>
      <c r="E43" t="n">
        <v>0.055</v>
      </c>
      <c r="F43" t="n">
        <v>0</v>
      </c>
      <c r="G43">
        <f>INDEX(P_EF_Elec!$F:$F,MATCH(A43,P_EF_Elec!$A:$A,0))</f>
        <v/>
      </c>
      <c r="H43">
        <f>C43*(63.28/0.6)+D43*(G43/0.9)+E43*(79.8/0.59)+F43*(G43/2.5)</f>
        <v/>
      </c>
      <c r="I43">
        <f>C43/0.6+D43/0.9+E43/0.59+F43/2.5</f>
        <v/>
      </c>
    </row>
    <row r="44">
      <c r="A44" t="inlineStr">
        <is>
          <t>NV</t>
        </is>
      </c>
      <c r="B44" t="inlineStr">
        <is>
          <t>US</t>
        </is>
      </c>
      <c r="C44" t="n">
        <v>0.482</v>
      </c>
      <c r="D44" t="n">
        <v>0.463</v>
      </c>
      <c r="E44" t="n">
        <v>0.055</v>
      </c>
      <c r="F44" t="n">
        <v>0</v>
      </c>
      <c r="G44">
        <f>INDEX(P_EF_Elec!$F:$F,MATCH(A44,P_EF_Elec!$A:$A,0))</f>
        <v/>
      </c>
      <c r="H44">
        <f>C44*(63.28/0.6)+D44*(G44/0.9)+E44*(79.8/0.59)+F44*(G44/2.5)</f>
        <v/>
      </c>
      <c r="I44">
        <f>C44/0.6+D44/0.9+E44/0.59+F44/2.5</f>
        <v/>
      </c>
    </row>
    <row r="45">
      <c r="A45" t="inlineStr">
        <is>
          <t>NH</t>
        </is>
      </c>
      <c r="B45" t="inlineStr">
        <is>
          <t>US</t>
        </is>
      </c>
      <c r="C45" t="n">
        <v>0.482</v>
      </c>
      <c r="D45" t="n">
        <v>0.463</v>
      </c>
      <c r="E45" t="n">
        <v>0.055</v>
      </c>
      <c r="F45" t="n">
        <v>0</v>
      </c>
      <c r="G45">
        <f>INDEX(P_EF_Elec!$F:$F,MATCH(A45,P_EF_Elec!$A:$A,0))</f>
        <v/>
      </c>
      <c r="H45">
        <f>C45*(63.28/0.6)+D45*(G45/0.9)+E45*(79.8/0.59)+F45*(G45/2.5)</f>
        <v/>
      </c>
      <c r="I45">
        <f>C45/0.6+D45/0.9+E45/0.59+F45/2.5</f>
        <v/>
      </c>
    </row>
    <row r="46">
      <c r="A46" t="inlineStr">
        <is>
          <t>NJ</t>
        </is>
      </c>
      <c r="B46" t="inlineStr">
        <is>
          <t>US</t>
        </is>
      </c>
      <c r="C46" t="n">
        <v>0.482</v>
      </c>
      <c r="D46" t="n">
        <v>0.463</v>
      </c>
      <c r="E46" t="n">
        <v>0.055</v>
      </c>
      <c r="F46" t="n">
        <v>0</v>
      </c>
      <c r="G46">
        <f>INDEX(P_EF_Elec!$F:$F,MATCH(A46,P_EF_Elec!$A:$A,0))</f>
        <v/>
      </c>
      <c r="H46">
        <f>C46*(63.28/0.6)+D46*(G46/0.9)+E46*(79.8/0.59)+F46*(G46/2.5)</f>
        <v/>
      </c>
      <c r="I46">
        <f>C46/0.6+D46/0.9+E46/0.59+F46/2.5</f>
        <v/>
      </c>
    </row>
    <row r="47">
      <c r="A47" t="inlineStr">
        <is>
          <t>NM</t>
        </is>
      </c>
      <c r="B47" t="inlineStr">
        <is>
          <t>US</t>
        </is>
      </c>
      <c r="C47" t="n">
        <v>0.482</v>
      </c>
      <c r="D47" t="n">
        <v>0.463</v>
      </c>
      <c r="E47" t="n">
        <v>0.055</v>
      </c>
      <c r="F47" t="n">
        <v>0</v>
      </c>
      <c r="G47">
        <f>INDEX(P_EF_Elec!$F:$F,MATCH(A47,P_EF_Elec!$A:$A,0))</f>
        <v/>
      </c>
      <c r="H47">
        <f>C47*(63.28/0.6)+D47*(G47/0.9)+E47*(79.8/0.59)+F47*(G47/2.5)</f>
        <v/>
      </c>
      <c r="I47">
        <f>C47/0.6+D47/0.9+E47/0.59+F47/2.5</f>
        <v/>
      </c>
    </row>
    <row r="48">
      <c r="A48" t="inlineStr">
        <is>
          <t>NC</t>
        </is>
      </c>
      <c r="B48" t="inlineStr">
        <is>
          <t>US</t>
        </is>
      </c>
      <c r="C48" t="n">
        <v>0.482</v>
      </c>
      <c r="D48" t="n">
        <v>0.463</v>
      </c>
      <c r="E48" t="n">
        <v>0.055</v>
      </c>
      <c r="F48" t="n">
        <v>0</v>
      </c>
      <c r="G48">
        <f>INDEX(P_EF_Elec!$F:$F,MATCH(A48,P_EF_Elec!$A:$A,0))</f>
        <v/>
      </c>
      <c r="H48">
        <f>C48*(63.28/0.6)+D48*(G48/0.9)+E48*(79.8/0.59)+F48*(G48/2.5)</f>
        <v/>
      </c>
      <c r="I48">
        <f>C48/0.6+D48/0.9+E48/0.59+F48/2.5</f>
        <v/>
      </c>
    </row>
    <row r="49">
      <c r="A49" t="inlineStr">
        <is>
          <t>ND</t>
        </is>
      </c>
      <c r="B49" t="inlineStr">
        <is>
          <t>US</t>
        </is>
      </c>
      <c r="C49" t="n">
        <v>0.482</v>
      </c>
      <c r="D49" t="n">
        <v>0.463</v>
      </c>
      <c r="E49" t="n">
        <v>0.055</v>
      </c>
      <c r="F49" t="n">
        <v>0</v>
      </c>
      <c r="G49">
        <f>INDEX(P_EF_Elec!$F:$F,MATCH(A49,P_EF_Elec!$A:$A,0))</f>
        <v/>
      </c>
      <c r="H49">
        <f>C49*(63.28/0.6)+D49*(G49/0.9)+E49*(79.8/0.59)+F49*(G49/2.5)</f>
        <v/>
      </c>
      <c r="I49">
        <f>C49/0.6+D49/0.9+E49/0.59+F49/2.5</f>
        <v/>
      </c>
    </row>
    <row r="50">
      <c r="A50" t="inlineStr">
        <is>
          <t>OH</t>
        </is>
      </c>
      <c r="B50" t="inlineStr">
        <is>
          <t>US</t>
        </is>
      </c>
      <c r="C50" t="n">
        <v>0.482</v>
      </c>
      <c r="D50" t="n">
        <v>0.463</v>
      </c>
      <c r="E50" t="n">
        <v>0.055</v>
      </c>
      <c r="F50" t="n">
        <v>0</v>
      </c>
      <c r="G50">
        <f>INDEX(P_EF_Elec!$F:$F,MATCH(A50,P_EF_Elec!$A:$A,0))</f>
        <v/>
      </c>
      <c r="H50">
        <f>C50*(63.28/0.6)+D50*(G50/0.9)+E50*(79.8/0.59)+F50*(G50/2.5)</f>
        <v/>
      </c>
      <c r="I50">
        <f>C50/0.6+D50/0.9+E50/0.59+F50/2.5</f>
        <v/>
      </c>
    </row>
    <row r="51">
      <c r="A51" t="inlineStr">
        <is>
          <t>OK</t>
        </is>
      </c>
      <c r="B51" t="inlineStr">
        <is>
          <t>US</t>
        </is>
      </c>
      <c r="C51" t="n">
        <v>0.482</v>
      </c>
      <c r="D51" t="n">
        <v>0.463</v>
      </c>
      <c r="E51" t="n">
        <v>0.055</v>
      </c>
      <c r="F51" t="n">
        <v>0</v>
      </c>
      <c r="G51">
        <f>INDEX(P_EF_Elec!$F:$F,MATCH(A51,P_EF_Elec!$A:$A,0))</f>
        <v/>
      </c>
      <c r="H51">
        <f>C51*(63.28/0.6)+D51*(G51/0.9)+E51*(79.8/0.59)+F51*(G51/2.5)</f>
        <v/>
      </c>
      <c r="I51">
        <f>C51/0.6+D51/0.9+E51/0.59+F51/2.5</f>
        <v/>
      </c>
    </row>
    <row r="52">
      <c r="A52" t="inlineStr">
        <is>
          <t>OR</t>
        </is>
      </c>
      <c r="B52" t="inlineStr">
        <is>
          <t>US</t>
        </is>
      </c>
      <c r="C52" t="n">
        <v>0.482</v>
      </c>
      <c r="D52" t="n">
        <v>0.463</v>
      </c>
      <c r="E52" t="n">
        <v>0.055</v>
      </c>
      <c r="F52" t="n">
        <v>0</v>
      </c>
      <c r="G52">
        <f>INDEX(P_EF_Elec!$F:$F,MATCH(A52,P_EF_Elec!$A:$A,0))</f>
        <v/>
      </c>
      <c r="H52">
        <f>C52*(63.28/0.6)+D52*(G52/0.9)+E52*(79.8/0.59)+F52*(G52/2.5)</f>
        <v/>
      </c>
      <c r="I52">
        <f>C52/0.6+D52/0.9+E52/0.59+F52/2.5</f>
        <v/>
      </c>
    </row>
    <row r="53">
      <c r="A53" t="inlineStr">
        <is>
          <t>PA</t>
        </is>
      </c>
      <c r="B53" t="inlineStr">
        <is>
          <t>US</t>
        </is>
      </c>
      <c r="C53" t="n">
        <v>0.482</v>
      </c>
      <c r="D53" t="n">
        <v>0.463</v>
      </c>
      <c r="E53" t="n">
        <v>0.055</v>
      </c>
      <c r="F53" t="n">
        <v>0</v>
      </c>
      <c r="G53">
        <f>INDEX(P_EF_Elec!$F:$F,MATCH(A53,P_EF_Elec!$A:$A,0))</f>
        <v/>
      </c>
      <c r="H53">
        <f>C53*(63.28/0.6)+D53*(G53/0.9)+E53*(79.8/0.59)+F53*(G53/2.5)</f>
        <v/>
      </c>
      <c r="I53">
        <f>C53/0.6+D53/0.9+E53/0.59+F53/2.5</f>
        <v/>
      </c>
    </row>
    <row r="54">
      <c r="A54" t="inlineStr">
        <is>
          <t>RI</t>
        </is>
      </c>
      <c r="B54" t="inlineStr">
        <is>
          <t>US</t>
        </is>
      </c>
      <c r="C54" t="n">
        <v>0.482</v>
      </c>
      <c r="D54" t="n">
        <v>0.463</v>
      </c>
      <c r="E54" t="n">
        <v>0.055</v>
      </c>
      <c r="F54" t="n">
        <v>0</v>
      </c>
      <c r="G54">
        <f>INDEX(P_EF_Elec!$F:$F,MATCH(A54,P_EF_Elec!$A:$A,0))</f>
        <v/>
      </c>
      <c r="H54">
        <f>C54*(63.28/0.6)+D54*(G54/0.9)+E54*(79.8/0.59)+F54*(G54/2.5)</f>
        <v/>
      </c>
      <c r="I54">
        <f>C54/0.6+D54/0.9+E54/0.59+F54/2.5</f>
        <v/>
      </c>
    </row>
    <row r="55">
      <c r="A55" t="inlineStr">
        <is>
          <t>SC</t>
        </is>
      </c>
      <c r="B55" t="inlineStr">
        <is>
          <t>US</t>
        </is>
      </c>
      <c r="C55" t="n">
        <v>0.482</v>
      </c>
      <c r="D55" t="n">
        <v>0.463</v>
      </c>
      <c r="E55" t="n">
        <v>0.055</v>
      </c>
      <c r="F55" t="n">
        <v>0</v>
      </c>
      <c r="G55">
        <f>INDEX(P_EF_Elec!$F:$F,MATCH(A55,P_EF_Elec!$A:$A,0))</f>
        <v/>
      </c>
      <c r="H55">
        <f>C55*(63.28/0.6)+D55*(G55/0.9)+E55*(79.8/0.59)+F55*(G55/2.5)</f>
        <v/>
      </c>
      <c r="I55">
        <f>C55/0.6+D55/0.9+E55/0.59+F55/2.5</f>
        <v/>
      </c>
    </row>
    <row r="56">
      <c r="A56" t="inlineStr">
        <is>
          <t>SD</t>
        </is>
      </c>
      <c r="B56" t="inlineStr">
        <is>
          <t>US</t>
        </is>
      </c>
      <c r="C56" t="n">
        <v>0.482</v>
      </c>
      <c r="D56" t="n">
        <v>0.463</v>
      </c>
      <c r="E56" t="n">
        <v>0.055</v>
      </c>
      <c r="F56" t="n">
        <v>0</v>
      </c>
      <c r="G56">
        <f>INDEX(P_EF_Elec!$F:$F,MATCH(A56,P_EF_Elec!$A:$A,0))</f>
        <v/>
      </c>
      <c r="H56">
        <f>C56*(63.28/0.6)+D56*(G56/0.9)+E56*(79.8/0.59)+F56*(G56/2.5)</f>
        <v/>
      </c>
      <c r="I56">
        <f>C56/0.6+D56/0.9+E56/0.59+F56/2.5</f>
        <v/>
      </c>
    </row>
    <row r="57">
      <c r="A57" t="inlineStr">
        <is>
          <t>TN</t>
        </is>
      </c>
      <c r="B57" t="inlineStr">
        <is>
          <t>US</t>
        </is>
      </c>
      <c r="C57" t="n">
        <v>0.482</v>
      </c>
      <c r="D57" t="n">
        <v>0.463</v>
      </c>
      <c r="E57" t="n">
        <v>0.055</v>
      </c>
      <c r="F57" t="n">
        <v>0</v>
      </c>
      <c r="G57">
        <f>INDEX(P_EF_Elec!$F:$F,MATCH(A57,P_EF_Elec!$A:$A,0))</f>
        <v/>
      </c>
      <c r="H57">
        <f>C57*(63.28/0.6)+D57*(G57/0.9)+E57*(79.8/0.59)+F57*(G57/2.5)</f>
        <v/>
      </c>
      <c r="I57">
        <f>C57/0.6+D57/0.9+E57/0.59+F57/2.5</f>
        <v/>
      </c>
    </row>
    <row r="58">
      <c r="A58" t="inlineStr">
        <is>
          <t>TX</t>
        </is>
      </c>
      <c r="B58" t="inlineStr">
        <is>
          <t>US</t>
        </is>
      </c>
      <c r="C58" t="n">
        <v>0.482</v>
      </c>
      <c r="D58" t="n">
        <v>0.463</v>
      </c>
      <c r="E58" t="n">
        <v>0.055</v>
      </c>
      <c r="F58" t="n">
        <v>0</v>
      </c>
      <c r="G58">
        <f>INDEX(P_EF_Elec!$F:$F,MATCH(A58,P_EF_Elec!$A:$A,0))</f>
        <v/>
      </c>
      <c r="H58">
        <f>C58*(63.28/0.6)+D58*(G58/0.9)+E58*(79.8/0.59)+F58*(G58/2.5)</f>
        <v/>
      </c>
      <c r="I58">
        <f>C58/0.6+D58/0.9+E58/0.59+F58/2.5</f>
        <v/>
      </c>
    </row>
    <row r="59">
      <c r="A59" t="inlineStr">
        <is>
          <t>UT</t>
        </is>
      </c>
      <c r="B59" t="inlineStr">
        <is>
          <t>US</t>
        </is>
      </c>
      <c r="C59" t="n">
        <v>0.482</v>
      </c>
      <c r="D59" t="n">
        <v>0.463</v>
      </c>
      <c r="E59" t="n">
        <v>0.055</v>
      </c>
      <c r="F59" t="n">
        <v>0</v>
      </c>
      <c r="G59">
        <f>INDEX(P_EF_Elec!$F:$F,MATCH(A59,P_EF_Elec!$A:$A,0))</f>
        <v/>
      </c>
      <c r="H59">
        <f>C59*(63.28/0.6)+D59*(G59/0.9)+E59*(79.8/0.59)+F59*(G59/2.5)</f>
        <v/>
      </c>
      <c r="I59">
        <f>C59/0.6+D59/0.9+E59/0.59+F59/2.5</f>
        <v/>
      </c>
    </row>
    <row r="60">
      <c r="A60" t="inlineStr">
        <is>
          <t>VT</t>
        </is>
      </c>
      <c r="B60" t="inlineStr">
        <is>
          <t>US</t>
        </is>
      </c>
      <c r="C60" t="n">
        <v>0.482</v>
      </c>
      <c r="D60" t="n">
        <v>0.463</v>
      </c>
      <c r="E60" t="n">
        <v>0.055</v>
      </c>
      <c r="F60" t="n">
        <v>0</v>
      </c>
      <c r="G60">
        <f>INDEX(P_EF_Elec!$F:$F,MATCH(A60,P_EF_Elec!$A:$A,0))</f>
        <v/>
      </c>
      <c r="H60">
        <f>C60*(63.28/0.6)+D60*(G60/0.9)+E60*(79.8/0.59)+F60*(G60/2.5)</f>
        <v/>
      </c>
      <c r="I60">
        <f>C60/0.6+D60/0.9+E60/0.59+F60/2.5</f>
        <v/>
      </c>
    </row>
    <row r="61">
      <c r="A61" t="inlineStr">
        <is>
          <t>VA</t>
        </is>
      </c>
      <c r="B61" t="inlineStr">
        <is>
          <t>US</t>
        </is>
      </c>
      <c r="C61" t="n">
        <v>0.482</v>
      </c>
      <c r="D61" t="n">
        <v>0.463</v>
      </c>
      <c r="E61" t="n">
        <v>0.055</v>
      </c>
      <c r="F61" t="n">
        <v>0</v>
      </c>
      <c r="G61">
        <f>INDEX(P_EF_Elec!$F:$F,MATCH(A61,P_EF_Elec!$A:$A,0))</f>
        <v/>
      </c>
      <c r="H61">
        <f>C61*(63.28/0.6)+D61*(G61/0.9)+E61*(79.8/0.59)+F61*(G61/2.5)</f>
        <v/>
      </c>
      <c r="I61">
        <f>C61/0.6+D61/0.9+E61/0.59+F61/2.5</f>
        <v/>
      </c>
    </row>
    <row r="62">
      <c r="A62" t="inlineStr">
        <is>
          <t>WV</t>
        </is>
      </c>
      <c r="B62" t="inlineStr">
        <is>
          <t>US</t>
        </is>
      </c>
      <c r="C62" t="n">
        <v>0.482</v>
      </c>
      <c r="D62" t="n">
        <v>0.463</v>
      </c>
      <c r="E62" t="n">
        <v>0.055</v>
      </c>
      <c r="F62" t="n">
        <v>0</v>
      </c>
      <c r="G62">
        <f>INDEX(P_EF_Elec!$F:$F,MATCH(A62,P_EF_Elec!$A:$A,0))</f>
        <v/>
      </c>
      <c r="H62">
        <f>C62*(63.28/0.6)+D62*(G62/0.9)+E62*(79.8/0.59)+F62*(G62/2.5)</f>
        <v/>
      </c>
      <c r="I62">
        <f>C62/0.6+D62/0.9+E62/0.59+F62/2.5</f>
        <v/>
      </c>
    </row>
    <row r="63">
      <c r="A63" t="inlineStr">
        <is>
          <t>WI</t>
        </is>
      </c>
      <c r="B63" t="inlineStr">
        <is>
          <t>US</t>
        </is>
      </c>
      <c r="C63" t="n">
        <v>0.482</v>
      </c>
      <c r="D63" t="n">
        <v>0.463</v>
      </c>
      <c r="E63" t="n">
        <v>0.055</v>
      </c>
      <c r="F63" t="n">
        <v>0</v>
      </c>
      <c r="G63">
        <f>INDEX(P_EF_Elec!$F:$F,MATCH(A63,P_EF_Elec!$A:$A,0))</f>
        <v/>
      </c>
      <c r="H63">
        <f>C63*(63.28/0.6)+D63*(G63/0.9)+E63*(79.8/0.59)+F63*(G63/2.5)</f>
        <v/>
      </c>
      <c r="I63">
        <f>C63/0.6+D63/0.9+E63/0.59+F63/2.5</f>
        <v/>
      </c>
    </row>
    <row r="64">
      <c r="A64" t="inlineStr">
        <is>
          <t>WY</t>
        </is>
      </c>
      <c r="B64" t="inlineStr">
        <is>
          <t>US</t>
        </is>
      </c>
      <c r="C64" t="n">
        <v>0.482</v>
      </c>
      <c r="D64" t="n">
        <v>0.463</v>
      </c>
      <c r="E64" t="n">
        <v>0.055</v>
      </c>
      <c r="F64" t="n">
        <v>0</v>
      </c>
      <c r="G64">
        <f>INDEX(P_EF_Elec!$F:$F,MATCH(A64,P_EF_Elec!$A:$A,0))</f>
        <v/>
      </c>
      <c r="H64">
        <f>C64*(63.28/0.6)+D64*(G64/0.9)+E64*(79.8/0.59)+F64*(G64/2.5)</f>
        <v/>
      </c>
      <c r="I64">
        <f>C64/0.6+D64/0.9+E64/0.59+F64/2.5</f>
        <v/>
      </c>
    </row>
    <row r="65">
      <c r="A65" t="inlineStr">
        <is>
          <t>DC</t>
        </is>
      </c>
      <c r="B65" t="inlineStr">
        <is>
          <t>US</t>
        </is>
      </c>
      <c r="C65" t="n">
        <v>0.482</v>
      </c>
      <c r="D65" t="n">
        <v>0.463</v>
      </c>
      <c r="E65" t="n">
        <v>0.055</v>
      </c>
      <c r="F65" t="n">
        <v>0</v>
      </c>
      <c r="G65">
        <f>INDEX(P_EF_Elec!$F:$F,MATCH(A65,P_EF_Elec!$A:$A,0))</f>
        <v/>
      </c>
      <c r="H65">
        <f>C65*(63.28/0.6)+D65*(G65/0.9)+E65*(79.8/0.59)+F65*(G65/2.5)</f>
        <v/>
      </c>
      <c r="I65">
        <f>C65/0.6+D65/0.9+E65/0.59+F65/2.5</f>
        <v/>
      </c>
    </row>
    <row r="66">
      <c r="A66" t="inlineStr">
        <is>
          <t>PR</t>
        </is>
      </c>
      <c r="B66" t="inlineStr">
        <is>
          <t>US</t>
        </is>
      </c>
      <c r="C66" t="n">
        <v>0.05</v>
      </c>
      <c r="D66" t="n">
        <v>0.88</v>
      </c>
      <c r="E66" t="n">
        <v>0.02</v>
      </c>
      <c r="F66" t="n">
        <v>0.05</v>
      </c>
      <c r="G66">
        <f>INDEX(P_EF_Elec!$F:$F,MATCH(A66,P_EF_Elec!$A:$A,0))</f>
        <v/>
      </c>
      <c r="H66">
        <f>C66*(63.28/0.6)+D66*(G66/0.9)+E66*(79.8/0.59)+F66*(G66/2.5)</f>
        <v/>
      </c>
      <c r="I66">
        <f>C66/0.6+D66/0.9+E66/0.59+F66/2.5</f>
        <v/>
      </c>
    </row>
    <row r="67">
      <c r="A67" t="inlineStr">
        <is>
          <t>VI</t>
        </is>
      </c>
      <c r="B67" t="inlineStr">
        <is>
          <t>US</t>
        </is>
      </c>
      <c r="C67" t="n">
        <v>0.05</v>
      </c>
      <c r="D67" t="n">
        <v>0.88</v>
      </c>
      <c r="E67" t="n">
        <v>0.02</v>
      </c>
      <c r="F67" t="n">
        <v>0.05</v>
      </c>
      <c r="G67">
        <f>INDEX(P_EF_Elec!$F:$F,MATCH(A67,P_EF_Elec!$A:$A,0))</f>
        <v/>
      </c>
      <c r="H67">
        <f>C67*(63.28/0.6)+D67*(G67/0.9)+E67*(79.8/0.59)+F67*(G67/2.5)</f>
        <v/>
      </c>
      <c r="I67">
        <f>C67/0.6+D67/0.9+E67/0.59+F67/2.5</f>
        <v/>
      </c>
    </row>
    <row r="68">
      <c r="A68" t="inlineStr">
        <is>
          <t>Used when water-heating = "Don't know". Lifecycle factors. CA weights: NRCan Table 34 (2023). US weights: RECS 2020. HPWH ~0 (folded into electric).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2026-06-27T11:20:34Z</dcterms:created>
  <dcterms:modified xmlns:dcterms="http://purl.org/dc/terms/" xmlns:xsi="http://www.w3.org/2001/XMLSchema-instance" xsi:type="dcterms:W3CDTF">2026-07-22T20:33:34Z</dcterms:modified>
  <cp:lastModifiedBy>Hoang-Nam Chu</cp:lastModifiedBy>
</cp:coreProperties>
</file>